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OTAS" sheetId="1" r:id="rId5"/>
    <sheet state="visible" name="CORRECIONES" sheetId="2" r:id="rId6"/>
    <sheet state="visible" name="SINDICATOS RECIBIDOS" sheetId="3" r:id="rId7"/>
    <sheet state="visible" name="REX+" sheetId="4" r:id="rId8"/>
    <sheet state="visible" name="Hoja 2" sheetId="5" r:id="rId9"/>
  </sheets>
  <definedNames>
    <definedName hidden="1" localSheetId="0" name="_xlnm._FilterDatabase">CUOTAS!$A$1:$N$363</definedName>
    <definedName hidden="1" localSheetId="1" name="_xlnm._FilterDatabase">CORRECIONES!$A$2:$E$2</definedName>
    <definedName hidden="1" localSheetId="2" name="_xlnm._FilterDatabase">'SINDICATOS RECIBIDOS'!$A$1:$B$16</definedName>
    <definedName hidden="1" localSheetId="3" name="_xlnm._FilterDatabase">'REX+'!$A$1:$L$363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tc={5e8fa585-c74f-4b1b-8055-7e495646d506}</author>
  </authors>
  <commentList>
    <comment authorId="0" xr:uid="{5e8fa585-c74f-4b1b-8055-7e495646d506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FAVOR VER LAS OBSERVACIONES YA QUE HAY NUEVOS INGRESOS EN LOS SINDICATOS Y NUEVAS MPA CON DOBLE DESCUENTO
</t>
      </text>
    </comment>
  </commentList>
</comments>
</file>

<file path=xl/sharedStrings.xml><?xml version="1.0" encoding="utf-8"?>
<sst xmlns="http://schemas.openxmlformats.org/spreadsheetml/2006/main" count="4524" uniqueCount="2153">
  <si>
    <t>SINDICATO</t>
  </si>
  <si>
    <t>RECIBIDOS</t>
  </si>
  <si>
    <t>SINDICATO INTEREMPRESA MANIPULADORAS PAE SIMPAE</t>
  </si>
  <si>
    <t>NOMBRE</t>
  </si>
  <si>
    <t>Plantilla</t>
  </si>
  <si>
    <t>si</t>
  </si>
  <si>
    <t>RUT</t>
  </si>
  <si>
    <t>SINDICATO NACIONAL INTEREMPRESA MANIPULADORA DE ALIMENTOS</t>
  </si>
  <si>
    <t>Nombre colaborador</t>
  </si>
  <si>
    <t>Contrato</t>
  </si>
  <si>
    <t>Nombre de contrato</t>
  </si>
  <si>
    <t>cuotasindical</t>
  </si>
  <si>
    <t>SINDICATO QUINTA NORMAL</t>
  </si>
  <si>
    <t>SINDICATO INTEREMPRESA MANIPULADORAS GUERRERA PAE</t>
  </si>
  <si>
    <t>sindsimpaecuotaconfp</t>
  </si>
  <si>
    <t>descuentodental</t>
  </si>
  <si>
    <t>descplantelefonico</t>
  </si>
  <si>
    <t>multasindical</t>
  </si>
  <si>
    <t>Cuota Sindical</t>
  </si>
  <si>
    <t>otrosdescuentossind</t>
  </si>
  <si>
    <t>cuotasindical2</t>
  </si>
  <si>
    <t>SINDICATO INTEREMPRESA MUJERES INDEPENDIENTES</t>
  </si>
  <si>
    <t>Oservacion</t>
  </si>
  <si>
    <t>motivo</t>
  </si>
  <si>
    <t>SINDICATO INTEREMPRESA SINTRAPAE RENQUI</t>
  </si>
  <si>
    <t>11971775-2</t>
  </si>
  <si>
    <t>corregir</t>
  </si>
  <si>
    <t>SINDICATO INTEREMPRESA DE MANIPULADORAS DE ALIMENTOS LO PRADO</t>
  </si>
  <si>
    <t>Cuota Fenama</t>
  </si>
  <si>
    <t>Cuota Confederacion</t>
  </si>
  <si>
    <t>NANCY MADARIAGA</t>
  </si>
  <si>
    <t>Descuento Dental</t>
  </si>
  <si>
    <t>Descuento Telefono/ Plan Celular</t>
  </si>
  <si>
    <t>SINDICATO INTEREMPRESA SANTIAGO UNIDO</t>
  </si>
  <si>
    <t>Multa Sindical</t>
  </si>
  <si>
    <t>Otros_dctos   SindIcal</t>
  </si>
  <si>
    <t>SINDICATO INTEREMPRESA ALISERVICE DISTAL</t>
  </si>
  <si>
    <t>SINDICATO INTEREMPRESA DE MANIPULADORAS DE ALIMENTOS DE LA PROVINCIA CORDILLERA</t>
  </si>
  <si>
    <t>SINDICATO SME (2026)</t>
  </si>
  <si>
    <t>SINDICATO INTEREMPRESA MANIPULADORAS DE ALIMENTO PAE Y PAP (LO BARNECHEA)</t>
  </si>
  <si>
    <t>SINDICATO SISTEMA(CORRECTO)</t>
  </si>
  <si>
    <t xml:space="preserve">VEJAR PINO PAMELA ALEJANDRA </t>
  </si>
  <si>
    <t>SINDICATO INTEREMPRESA DE MANIPULADORAS DE ALIMENTOS SANTIAGO SUR N1</t>
  </si>
  <si>
    <t>16692656-7</t>
  </si>
  <si>
    <t>SINDICATO INTEREMPRESA MANIPULADORAS PAE PAP</t>
  </si>
  <si>
    <t>EMPRESA</t>
  </si>
  <si>
    <t>SITAL</t>
  </si>
  <si>
    <t xml:space="preserve">ERROR EN EN EL RUT </t>
  </si>
  <si>
    <t>16692646-7</t>
  </si>
  <si>
    <t xml:space="preserve">PAVEZ PRADENAS </t>
  </si>
  <si>
    <t>22584903-K</t>
  </si>
  <si>
    <t>FINIQUITADA</t>
  </si>
  <si>
    <t>GALLARDO MERY NICOL</t>
  </si>
  <si>
    <t>DOBLE CUOTA</t>
  </si>
  <si>
    <t>18636141-1</t>
  </si>
  <si>
    <t>18363141-1</t>
  </si>
  <si>
    <t xml:space="preserve"> </t>
  </si>
  <si>
    <t xml:space="preserve">PAINE NIETO MARGARITA </t>
  </si>
  <si>
    <t>9410734-2</t>
  </si>
  <si>
    <t>CAMILA MAKARENA CHAVEZ CHAVEZ</t>
  </si>
  <si>
    <t>19095775-9</t>
  </si>
  <si>
    <t> 19095775-6</t>
  </si>
  <si>
    <t>18122103-8</t>
  </si>
  <si>
    <t>GLADYS POBLETE</t>
  </si>
  <si>
    <t>12406831-2</t>
  </si>
  <si>
    <t>GIOCONDA RETAMALES</t>
  </si>
  <si>
    <t>13031543-7</t>
  </si>
  <si>
    <t>EDITH BORDILLO</t>
  </si>
  <si>
    <t>11293958-K</t>
  </si>
  <si>
    <t xml:space="preserve">AURORA ELOISA  CARRASCO ALARCON </t>
  </si>
  <si>
    <t>20139231-4</t>
  </si>
  <si>
    <t xml:space="preserve">CAROLINA ALEXANDRA VASQUEZ GOMEZ </t>
  </si>
  <si>
    <t xml:space="preserve">CORINA DEL CARMEN  GONZALEZ MUÑOZ </t>
  </si>
  <si>
    <t>9479341-6</t>
  </si>
  <si>
    <t xml:space="preserve">ELSA CLARA BERGUÑO SANTIBAÑEZ </t>
  </si>
  <si>
    <t>8603844-7</t>
  </si>
  <si>
    <t>JESSICA SOLANGE VARGAS BELLO</t>
  </si>
  <si>
    <t>12906922-8</t>
  </si>
  <si>
    <t xml:space="preserve">KATHERINE BEATRIZ CARMONA GONZALEZ </t>
  </si>
  <si>
    <t>16932964-8</t>
  </si>
  <si>
    <t>10011747-9</t>
  </si>
  <si>
    <t>FIGUEROA ARANDA VERONICA DEL CARMEN</t>
  </si>
  <si>
    <t>Contrato 1</t>
  </si>
  <si>
    <t>10024007-6</t>
  </si>
  <si>
    <t>CRUZ GUTIERREZ GRICELDA ANGELICA</t>
  </si>
  <si>
    <t>10047557-K</t>
  </si>
  <si>
    <t>HERMOSILLA REYES LIDIA DEL CARMEN</t>
  </si>
  <si>
    <t>10074715-4</t>
  </si>
  <si>
    <t>MOLINA DELGADO LAURA DEL CARMEN</t>
  </si>
  <si>
    <t>10081913-9</t>
  </si>
  <si>
    <t>MARTINEZ VALENZUELA ESTRELLA DEL CARMEN</t>
  </si>
  <si>
    <t>10115215-4</t>
  </si>
  <si>
    <t>AREVALO VILLARROEL NANCY EUGENIA</t>
  </si>
  <si>
    <t>15587846-0</t>
  </si>
  <si>
    <t>10143653-5</t>
  </si>
  <si>
    <t xml:space="preserve">KATHERIN YSABEL GOMEZ NUÑEZ </t>
  </si>
  <si>
    <t>BRICEÑO ROMERO SILVIA DEL CARMEN</t>
  </si>
  <si>
    <t>10147004-0</t>
  </si>
  <si>
    <t>VASQUEZ TENO MARISOL DE LAS MERCEDES</t>
  </si>
  <si>
    <t>10194223-6</t>
  </si>
  <si>
    <t>RABANAL RAMOS CLAUDIA MONICA</t>
  </si>
  <si>
    <t>10197877-K</t>
  </si>
  <si>
    <t>MUÑOZ GAJARDO ROSA MARITZA</t>
  </si>
  <si>
    <t>10224404-4</t>
  </si>
  <si>
    <t>VARELA ARAVENA ADRIANA IVON</t>
  </si>
  <si>
    <t>10250776-2</t>
  </si>
  <si>
    <t>11796214-8</t>
  </si>
  <si>
    <t>LOBOS RUBIO IRENE DEL CARMEN</t>
  </si>
  <si>
    <t>LUZ JIMENA TRAGO ANTIMAN</t>
  </si>
  <si>
    <t>10255579-1</t>
  </si>
  <si>
    <t>PALMA BELMAR REBECA DEL CARMEN</t>
  </si>
  <si>
    <t>10289653-K</t>
  </si>
  <si>
    <t>REYES ROSALES MARGARITA DE LAS MERCEDES</t>
  </si>
  <si>
    <t>10293156-4</t>
  </si>
  <si>
    <t>MARAMBIO ALFARO LUZ MARIA</t>
  </si>
  <si>
    <t>10313012-3</t>
  </si>
  <si>
    <t>BARRAZA GONZALEZ BERTA DEL CARMEN</t>
  </si>
  <si>
    <t>10316354-4</t>
  </si>
  <si>
    <t>MUÑOZ LAGOS JACQUELINE DEL CARMEN</t>
  </si>
  <si>
    <t>10385557-8</t>
  </si>
  <si>
    <t>MAUREIRA SEPULVEDA EMA ELIZABETH</t>
  </si>
  <si>
    <t>10403363-6</t>
  </si>
  <si>
    <t xml:space="preserve">MIRIAN VERONICA PEREZ QUEZADA </t>
  </si>
  <si>
    <t>10388119-6</t>
  </si>
  <si>
    <t>ACUÑA ULLOA DARLING ELIZABETH</t>
  </si>
  <si>
    <t>10401784-3</t>
  </si>
  <si>
    <t>CASTRO AYALA GABRIELA TATIANA</t>
  </si>
  <si>
    <t>PEREZ QUEZADA MIRIAM VERONICA</t>
  </si>
  <si>
    <t>10405022-0</t>
  </si>
  <si>
    <t>CATALAN BAEZ MARIA ANGELICA</t>
  </si>
  <si>
    <t xml:space="preserve">NANCY EUGENIA  AREVALO VILLAROEL </t>
  </si>
  <si>
    <t>10405227-4</t>
  </si>
  <si>
    <t>GOMEZ DELGADO CECILIA DEL CARMEN</t>
  </si>
  <si>
    <t>10425360-1</t>
  </si>
  <si>
    <t>CID VARGAS. LISETTE DEL CARMEN</t>
  </si>
  <si>
    <t>10437709-2</t>
  </si>
  <si>
    <t>SOTO PERALTA ADAN IGNACIO</t>
  </si>
  <si>
    <t>Contrato Chofer</t>
  </si>
  <si>
    <t>10451636-K</t>
  </si>
  <si>
    <t>MORASSO ARRIAGADA PATRICIA ANGELICA</t>
  </si>
  <si>
    <t>10459663-0</t>
  </si>
  <si>
    <t xml:space="preserve">SUSSY MAGALY TAPIA PEREZ </t>
  </si>
  <si>
    <t>12397855-2</t>
  </si>
  <si>
    <t>BAZAN ORELLANA MARIA JACQUELINE</t>
  </si>
  <si>
    <t>10471922-8</t>
  </si>
  <si>
    <t>LLANCA SAAVEDRA ELSA MARISOL</t>
  </si>
  <si>
    <t>10480122-6</t>
  </si>
  <si>
    <t>ORMEÑO YAÑEZ MARIA TERESA</t>
  </si>
  <si>
    <t>10496655-1</t>
  </si>
  <si>
    <t>FRIS YEUTO MARITZA DE LAS MERCEDES</t>
  </si>
  <si>
    <t>CONTRATO 1</t>
  </si>
  <si>
    <t>10497251-9</t>
  </si>
  <si>
    <t>SALAS SEPULVEDA BERNARDITA DE LAS MERCEDES</t>
  </si>
  <si>
    <t>10531494-9</t>
  </si>
  <si>
    <t>NORDIO URZUA FABIOLA DE LOURDES</t>
  </si>
  <si>
    <t>FANNY DEL CARMEN RAMUREZ JARA</t>
  </si>
  <si>
    <t>12875395-8</t>
  </si>
  <si>
    <t>10549585-4</t>
  </si>
  <si>
    <t>GUTIERREZ VALDIVIA SOLEDAD IVONNE</t>
  </si>
  <si>
    <t>10581939-0</t>
  </si>
  <si>
    <t>SALVA ESCOBAR SARA DEL CARMEN</t>
  </si>
  <si>
    <t>10584359-3</t>
  </si>
  <si>
    <t>RODRIGUEZ CHAVEZ ADELA ADRIANA</t>
  </si>
  <si>
    <t>10600079-4</t>
  </si>
  <si>
    <t>LETELIER FIGUEROA MABEL CECILIA</t>
  </si>
  <si>
    <t>10610868-4</t>
  </si>
  <si>
    <t>LYNDA RAQUEL ARAGON VALDES</t>
  </si>
  <si>
    <t>SANCHEZ MIRANDA VERONICA YOLANDA</t>
  </si>
  <si>
    <t>13835916-6</t>
  </si>
  <si>
    <t>Contrato 2</t>
  </si>
  <si>
    <t>10615814-2</t>
  </si>
  <si>
    <t>Hormazabal Encina Celinda Rosa</t>
  </si>
  <si>
    <t>Contrato 3</t>
  </si>
  <si>
    <t>10618458-5</t>
  </si>
  <si>
    <t>MARIN URRUTIA ROSE MARIE</t>
  </si>
  <si>
    <t>10621973-7</t>
  </si>
  <si>
    <t>FLORES PEÑA ISOLINA DEL ROSARIO</t>
  </si>
  <si>
    <t>10645591-0</t>
  </si>
  <si>
    <t>CERDA ABELLO CLAUDIA ROMANE</t>
  </si>
  <si>
    <t>10677585-0</t>
  </si>
  <si>
    <t>CELIS MEJIAS SANDRA DE LAS MERCEDES</t>
  </si>
  <si>
    <t>María Jacqueline Bazan Orellana</t>
  </si>
  <si>
    <t>10679976-8</t>
  </si>
  <si>
    <t>LEON RODRIGUEZ MAGALY ALEJANDRA</t>
  </si>
  <si>
    <t>10682618-8</t>
  </si>
  <si>
    <t>ALMENDRA ACUÑA BLANCA CECILIA</t>
  </si>
  <si>
    <t>10715094-3</t>
  </si>
  <si>
    <t>MANOSALVA ARANGUIZ NELSON</t>
  </si>
  <si>
    <t>Contrato Maestro de Cocina</t>
  </si>
  <si>
    <t>10717293-9</t>
  </si>
  <si>
    <t>HERNANDEZ ARRIAGADA RUTH DEL CARMEN</t>
  </si>
  <si>
    <t>10721231-0</t>
  </si>
  <si>
    <t>SUAREZ GUTIERREZ MARITZA ISABEL</t>
  </si>
  <si>
    <t>10727637-8</t>
  </si>
  <si>
    <t>TRONCOSO RODRIGUEZ VIOLETA DEL CARMEN</t>
  </si>
  <si>
    <t>Elena Margarita Ayala Cabrera</t>
  </si>
  <si>
    <t>10733600-1</t>
  </si>
  <si>
    <t>SARAVIA DONOSO MARIA FILOMENA</t>
  </si>
  <si>
    <t>11549620-4</t>
  </si>
  <si>
    <t>10737774-3</t>
  </si>
  <si>
    <t>GONZALEZ GUTIERREZ MARIA GRACIELA</t>
  </si>
  <si>
    <t>10754680-4</t>
  </si>
  <si>
    <t>Mora Briones Sebastian Abel</t>
  </si>
  <si>
    <t>Contrato Peoneta</t>
  </si>
  <si>
    <t>10794694-2</t>
  </si>
  <si>
    <t>VIVANCO CARVALLO LINA CAROL</t>
  </si>
  <si>
    <t>10803880-2</t>
  </si>
  <si>
    <t>LAGOS GONZALEZ SYLVIA ESTER</t>
  </si>
  <si>
    <t>10806696-2</t>
  </si>
  <si>
    <t>PUENTES TORDESILLA ROSA ELISA</t>
  </si>
  <si>
    <t>10808412-K</t>
  </si>
  <si>
    <t>Elsa Marisol Llanca Saavedra</t>
  </si>
  <si>
    <t>MATURANA PEREZ MARCELA JEANETTE</t>
  </si>
  <si>
    <t>10811500-9</t>
  </si>
  <si>
    <t>CIFUENTES JARA LILIANA PATRICIA</t>
  </si>
  <si>
    <t>10817115-4</t>
  </si>
  <si>
    <t>QUIROZ FLORES MARIA EUGENIA</t>
  </si>
  <si>
    <t>10834227-7</t>
  </si>
  <si>
    <t>PEREZ MOLINA VERONICA ALEJANDRA</t>
  </si>
  <si>
    <t>10862423-K</t>
  </si>
  <si>
    <t>GALLEGOS OCHOA ROSA ANGELICA</t>
  </si>
  <si>
    <t>10865043-5</t>
  </si>
  <si>
    <t>ASTORGA ALVAREZ MARISOL LUCILA</t>
  </si>
  <si>
    <t>Contrato Manipuladora</t>
  </si>
  <si>
    <t>10868164-0</t>
  </si>
  <si>
    <t>ORREGO CONTRERAS EVELYN ALEXANDRA</t>
  </si>
  <si>
    <t>10869308-8</t>
  </si>
  <si>
    <t>Yocelyn del Carmen Zapata Yáñez</t>
  </si>
  <si>
    <t>FLORES LOPEZ GLORIA DE LAS MERCEDES</t>
  </si>
  <si>
    <t>15481206-7</t>
  </si>
  <si>
    <t>10914151-8</t>
  </si>
  <si>
    <t>SILVA SEPULVEDA MARIA ANGELICA</t>
  </si>
  <si>
    <t>10940546-9</t>
  </si>
  <si>
    <t>AGURTO SOTO ELIZABETH DEL CARMEN</t>
  </si>
  <si>
    <t>10941729-7</t>
  </si>
  <si>
    <t>LUCO BELMAR LETICIA IDILIA</t>
  </si>
  <si>
    <t>10959382-6</t>
  </si>
  <si>
    <t>MULATO LLAO DOMITILA MIREYA</t>
  </si>
  <si>
    <t>10965085-4</t>
  </si>
  <si>
    <t>VERGARA CATALAN EMA DE LOURDES</t>
  </si>
  <si>
    <t>10993766-5</t>
  </si>
  <si>
    <t>GALDAMES VERGARA JUANA MARISOL</t>
  </si>
  <si>
    <t>10994598-6</t>
  </si>
  <si>
    <t>TAPIA SALINAS CARMEN LUISA</t>
  </si>
  <si>
    <t>10995796-8</t>
  </si>
  <si>
    <t>AVILA FUENTEALBA VICTORINA ISABEL</t>
  </si>
  <si>
    <t>Laura del Carmen Molina Delgado</t>
  </si>
  <si>
    <t>10996417-4</t>
  </si>
  <si>
    <t>FLORES ARROYO VERONICA CARMEN</t>
  </si>
  <si>
    <t>11028242-7</t>
  </si>
  <si>
    <t>GARAY GUITIERREZ ROSA DE LAS MERCEDES</t>
  </si>
  <si>
    <t>11037758-4</t>
  </si>
  <si>
    <t>COA SALINAS LILIAN YANET</t>
  </si>
  <si>
    <t>11045441-4</t>
  </si>
  <si>
    <t>GUZMAN JORQUERA AIDA DEL ROSARIO</t>
  </si>
  <si>
    <t>11048307-4</t>
  </si>
  <si>
    <t>ORTIZ MADRID PATRICIA DEL CARMEN</t>
  </si>
  <si>
    <t>11050405-5</t>
  </si>
  <si>
    <t>NUÑEZ MACHUCA MARISOL DEL ROSARIO</t>
  </si>
  <si>
    <t>Elizabeth Johana Aburto Silva</t>
  </si>
  <si>
    <t>11050562-0</t>
  </si>
  <si>
    <t>SAEZ ROCHA ROSA ESTER</t>
  </si>
  <si>
    <t>15505258-9</t>
  </si>
  <si>
    <t>11052562-1</t>
  </si>
  <si>
    <t>TAPIA DONOSO RODOLFINA DEL CARMEN</t>
  </si>
  <si>
    <t>11089672-7</t>
  </si>
  <si>
    <t>MULATO LLAO GLADYS FLOR</t>
  </si>
  <si>
    <t>11096190-1</t>
  </si>
  <si>
    <t>FUENTES TAPIA HORTENSIA SUSANA</t>
  </si>
  <si>
    <t>11107099-7</t>
  </si>
  <si>
    <t>VALENZUELA GUERRERO NANCY KARINA</t>
  </si>
  <si>
    <t>11109932-4</t>
  </si>
  <si>
    <t>SALAZAR SILVA CAROLINA DEL PILAR</t>
  </si>
  <si>
    <t>11122431-5</t>
  </si>
  <si>
    <t>VALDERRAMA ARROYO OLVIDO VERONICA</t>
  </si>
  <si>
    <t>Mariana Daniela Toledo jaque</t>
  </si>
  <si>
    <t>17425935-6</t>
  </si>
  <si>
    <t>11138780-K</t>
  </si>
  <si>
    <t>OJEDA SOTOMAYOR ERNA HILDEGARDA</t>
  </si>
  <si>
    <t>11147079-0</t>
  </si>
  <si>
    <t>CAMPOS CASTRO CLAUDINA DEL CARMEN</t>
  </si>
  <si>
    <t>11155188-K</t>
  </si>
  <si>
    <t>SALAMANCA ESCOBAR NELLY ROSARIO</t>
  </si>
  <si>
    <t>11249371-9</t>
  </si>
  <si>
    <t>CONEJEROS REYES LORENA DEL CARMEN</t>
  </si>
  <si>
    <t>11253650-7</t>
  </si>
  <si>
    <t>PEREZ CASTRO JEANETTE DEL CARMEN</t>
  </si>
  <si>
    <t>11255873-K</t>
  </si>
  <si>
    <t>MENDOZA VERGARA AURORA DEL ALBA</t>
  </si>
  <si>
    <t>Claudina del Carmen  Campos Castro</t>
  </si>
  <si>
    <t>11255969-8</t>
  </si>
  <si>
    <t>GODOY MANCILLA MONICA PILAR</t>
  </si>
  <si>
    <t>11258173-1</t>
  </si>
  <si>
    <t>HENRIQUEZ VALDEZ MARISOL JEANNETTE</t>
  </si>
  <si>
    <t>11269311-4</t>
  </si>
  <si>
    <t>MONILLA PALOMINOS JUANA DEL ROSARIO</t>
  </si>
  <si>
    <t>11293217-8</t>
  </si>
  <si>
    <t>DÁVILA ZAPATA DELFINA NINET</t>
  </si>
  <si>
    <t>CARRASCO ALARCON AURORA ELOISA</t>
  </si>
  <si>
    <t>11319225-9</t>
  </si>
  <si>
    <t>ARMIJO CORTES PAULA EUGENIA</t>
  </si>
  <si>
    <t>Bernardita de las Mercedes Salas Sepulveda</t>
  </si>
  <si>
    <t>11391553-6</t>
  </si>
  <si>
    <t>ARAYA SOTO ANGELINA DEL TRANSITO</t>
  </si>
  <si>
    <t>11395143-5</t>
  </si>
  <si>
    <t>LÓPEZ FLORES JACQUINE ISABEL</t>
  </si>
  <si>
    <t>11402912-2</t>
  </si>
  <si>
    <t>ORTEGA SANTIBANEZ ROSA DELIA</t>
  </si>
  <si>
    <t>11437289-7</t>
  </si>
  <si>
    <t>MEZA LILLO JESSICA OLGA</t>
  </si>
  <si>
    <t>11487963-0</t>
  </si>
  <si>
    <t>ESCUDERO BUSTOS JOANNA ANDREA</t>
  </si>
  <si>
    <t>11488709-9</t>
  </si>
  <si>
    <t>CANIO CISTERNA ADRIANA VALESKA</t>
  </si>
  <si>
    <t>11489084-7</t>
  </si>
  <si>
    <t>CORTEZ PADILLA MARCELA EMILIA</t>
  </si>
  <si>
    <t>Viviana Alejandra Salazar Muñoz</t>
  </si>
  <si>
    <t>11523217-7</t>
  </si>
  <si>
    <t>VILLALON DIAZ CECILIA ELIZABETH</t>
  </si>
  <si>
    <t>12655315-3</t>
  </si>
  <si>
    <t>AYALA CABRERA ELENA MARGARITA</t>
  </si>
  <si>
    <t>11550040-6</t>
  </si>
  <si>
    <t>REYES REYES TATIANA CAROLINA</t>
  </si>
  <si>
    <t>11552154-3</t>
  </si>
  <si>
    <t>NAVARRO NEIRA NUVIA CRISTINA</t>
  </si>
  <si>
    <t>11566846-3</t>
  </si>
  <si>
    <t>ALVAREZ FLOREZ MARIA CECILIA</t>
  </si>
  <si>
    <t>11644563-8</t>
  </si>
  <si>
    <t>ALVAREZ DEL RIO OLGA MARIA</t>
  </si>
  <si>
    <t>Evelyn Margarita Soto Elgueta</t>
  </si>
  <si>
    <t>16924326-3</t>
  </si>
  <si>
    <t>11658356-9</t>
  </si>
  <si>
    <t>URBINA MIRANDA CECILIA ANDREA</t>
  </si>
  <si>
    <t>11661703-K</t>
  </si>
  <si>
    <t>FUENTES PIZARRO LILIAN JUANA</t>
  </si>
  <si>
    <t>11665371-0</t>
  </si>
  <si>
    <t>FUENTES OLMEDO ELIZABETH NANCY</t>
  </si>
  <si>
    <t>11668679-1</t>
  </si>
  <si>
    <t>VERA CABRERA LIDIA DEL CARMEN</t>
  </si>
  <si>
    <t>Elizabeth Del Carmen Agurto Soto</t>
  </si>
  <si>
    <t>11682594-5</t>
  </si>
  <si>
    <t>ESPINOZA RIVERA JULIA BEATRIZ</t>
  </si>
  <si>
    <t>Contrato PMA1</t>
  </si>
  <si>
    <t>11688233-7</t>
  </si>
  <si>
    <t>HENRIQUEZ BARRA CECILIA DEL CARMEN</t>
  </si>
  <si>
    <t>11693738-7</t>
  </si>
  <si>
    <t>VERGARA CABRERA SANDRA JULIETTE</t>
  </si>
  <si>
    <t>11694320-4</t>
  </si>
  <si>
    <t>GONZALEZ CORNEJO YANET ROXANA</t>
  </si>
  <si>
    <t>Maria Elena Grandon Prado</t>
  </si>
  <si>
    <t>11749140-4</t>
  </si>
  <si>
    <t>12259827-6</t>
  </si>
  <si>
    <t>PINTO MADRID MARCIA DEL ROSARIO</t>
  </si>
  <si>
    <t>11750211-2</t>
  </si>
  <si>
    <t>SANDOVAL RAMIREZ EDITH DE LAS MERCEDES</t>
  </si>
  <si>
    <t>TRANGO ANTIMAN LUZ JIMENA</t>
  </si>
  <si>
    <t>11854308-4</t>
  </si>
  <si>
    <t>VASQUEZ BASOALTO WILMA ESTER</t>
  </si>
  <si>
    <t>11856000-0</t>
  </si>
  <si>
    <t>LEIVA RODRIGUEZ YASNA PAOLA</t>
  </si>
  <si>
    <t>Ximena Isabel Hernández Araya</t>
  </si>
  <si>
    <t>Contrato Auxiliar de Aseo</t>
  </si>
  <si>
    <t>11856183-K</t>
  </si>
  <si>
    <t>13058814-K</t>
  </si>
  <si>
    <t>PEREZ JOCHAVA FARAH MARGARITA</t>
  </si>
  <si>
    <t>11857763-9</t>
  </si>
  <si>
    <t>GALDAMES OBANDO MARIA LUISA DEL CARMEN</t>
  </si>
  <si>
    <t>11874209-5</t>
  </si>
  <si>
    <t>VERGARA NARVAEZ IRMA PATRICIA</t>
  </si>
  <si>
    <t>Contrato Ayudante de Cocina</t>
  </si>
  <si>
    <t>11874755-0</t>
  </si>
  <si>
    <t>RIQUELME MALDONADO ANA DE LAS MERCEDES</t>
  </si>
  <si>
    <t>11875313-5</t>
  </si>
  <si>
    <t>GONZÁLEZ VEGA MERCEDES DEL CARMEN</t>
  </si>
  <si>
    <t>11877220-2</t>
  </si>
  <si>
    <t>PARADA OLATE BELLA AURORA</t>
  </si>
  <si>
    <t>Contrato Supervisor</t>
  </si>
  <si>
    <t>11877786-7</t>
  </si>
  <si>
    <t>María Jacqueline Marín Rojas</t>
  </si>
  <si>
    <t>TORRES OLIVARES JUANA LEONOR</t>
  </si>
  <si>
    <t>12371445-8</t>
  </si>
  <si>
    <t>11877946-0</t>
  </si>
  <si>
    <t>AHUMADA HENRIQUEZ ANA MARIA</t>
  </si>
  <si>
    <t>11878138-4</t>
  </si>
  <si>
    <t>URBINA MORALES GIOVANNA ESMERALDA</t>
  </si>
  <si>
    <t>11886248-1</t>
  </si>
  <si>
    <t>NUÑEZ MALLEA CAROL VICTORIA</t>
  </si>
  <si>
    <t>11902194-4</t>
  </si>
  <si>
    <t>CABEZA MARTINEZ CARMEN PAOLA</t>
  </si>
  <si>
    <t>MADARIAGA CERECEDA NANCY DEL ROSARIO</t>
  </si>
  <si>
    <t>Carolina del Rosario Oviedo cruz</t>
  </si>
  <si>
    <t>11972263-2</t>
  </si>
  <si>
    <t>13056093-8</t>
  </si>
  <si>
    <t>CACERES MAGAÑA YASNA ELIZABETH</t>
  </si>
  <si>
    <t>11973590-4</t>
  </si>
  <si>
    <t>ZÚÑIGA SOLÍS PATRICIA DEL PILAR</t>
  </si>
  <si>
    <t>11974882-8</t>
  </si>
  <si>
    <t>LUCERO MORENO AIDA DE LAS MERCEDES</t>
  </si>
  <si>
    <t>11975288-4</t>
  </si>
  <si>
    <t>IBARRA LINEROS ELIZABETH MACARENA</t>
  </si>
  <si>
    <t>11976327-4</t>
  </si>
  <si>
    <t>SOTO AREVALO GLORIA JEANNETTE</t>
  </si>
  <si>
    <t>Johana Urzua Gho</t>
  </si>
  <si>
    <t>12241606-2</t>
  </si>
  <si>
    <t>11976605-2</t>
  </si>
  <si>
    <t>BELMAR MACAYA CAROLINA ANDREA</t>
  </si>
  <si>
    <t>11977029-7</t>
  </si>
  <si>
    <t>MUÑOZ MALDONADO WENDY ESTER</t>
  </si>
  <si>
    <t>12003301-8</t>
  </si>
  <si>
    <t>ZAMORANO LEAL MARIELA DE LAS MERCEDES</t>
  </si>
  <si>
    <t>12022961-3</t>
  </si>
  <si>
    <t>HERNÁNDEZ ALDAY CINELIA JACQUELINE</t>
  </si>
  <si>
    <t>12031679-6</t>
  </si>
  <si>
    <t>ROMERO GONZALEZ GLADYS MARGARITA</t>
  </si>
  <si>
    <t>12044588-K</t>
  </si>
  <si>
    <t xml:space="preserve">Betzabet  Yolanda Arriagada coa </t>
  </si>
  <si>
    <t>POBLETE SOLIS ANGELICA PATRICIA</t>
  </si>
  <si>
    <t>18328488-6</t>
  </si>
  <si>
    <t>12050485-1</t>
  </si>
  <si>
    <t>MILLAR ESPINA DANIELA ESTIBALIZ</t>
  </si>
  <si>
    <t>12054386-5</t>
  </si>
  <si>
    <t>MEDINA SOTO MAGDALENA DEL CARMEN</t>
  </si>
  <si>
    <t>12055799-8</t>
  </si>
  <si>
    <t>MARTINEZ BUHOLZER CARMEN GLORIA</t>
  </si>
  <si>
    <t>12118630-6</t>
  </si>
  <si>
    <t>JARA MORAGA TATIANA DEL CARMEN</t>
  </si>
  <si>
    <t>12120536-K</t>
  </si>
  <si>
    <t>PUEL SALAZAR ALLISON LORENA</t>
  </si>
  <si>
    <t>12162662-4</t>
  </si>
  <si>
    <t>ROMO ROMERO PAOLA ANGELICA</t>
  </si>
  <si>
    <t>Virginia del Carmen Escanilla Muñoz</t>
  </si>
  <si>
    <t>12163051-6</t>
  </si>
  <si>
    <t>15583867-1</t>
  </si>
  <si>
    <t>VALENZUELA VALENZUELA SILVANA PAOLA</t>
  </si>
  <si>
    <t>12165396-6</t>
  </si>
  <si>
    <t>PINO SUAREZ GRACIELA DE LAS MERCEDES</t>
  </si>
  <si>
    <t>12169782-3</t>
  </si>
  <si>
    <t>PAILLÁN PAINEFIL IRIS DEL ROSARIO</t>
  </si>
  <si>
    <t>12192749-7</t>
  </si>
  <si>
    <t>IBARRA MUÑOZ DAGNA ANDREA</t>
  </si>
  <si>
    <t>12233695-6</t>
  </si>
  <si>
    <t>DIAZ ESCOBAR INGRID DEL CARMEN</t>
  </si>
  <si>
    <t>12233770-7</t>
  </si>
  <si>
    <t>Solidina del Carmen Rivas Carrillo</t>
  </si>
  <si>
    <t>GAUTHIER VALDÉS PAOLA ISABEL</t>
  </si>
  <si>
    <t>8792284-7</t>
  </si>
  <si>
    <t>URZUA GHA JOHANNA</t>
  </si>
  <si>
    <t>12248542-0</t>
  </si>
  <si>
    <t>TAPIA MUÑOZ OLGA EVELYN</t>
  </si>
  <si>
    <t>GRANDON PRADO MARIA ELENA</t>
  </si>
  <si>
    <t>12260078-5</t>
  </si>
  <si>
    <t>CARO CIFUENTES MONICA FABIOLA</t>
  </si>
  <si>
    <t>12261251-1</t>
  </si>
  <si>
    <t>DIAZ ESCOBAR CLAUDIA ISABEL</t>
  </si>
  <si>
    <t>12262444-7</t>
  </si>
  <si>
    <t>MOSCOSO GONZÁLEZ VALENTINA PATRICIA</t>
  </si>
  <si>
    <t>12274455-8</t>
  </si>
  <si>
    <t>ÑANCULEO LINCOLEO MARIA VERONICA</t>
  </si>
  <si>
    <t>12275651-3</t>
  </si>
  <si>
    <t>CARRASCO MAULEN JACQUELIN DE LAS MERCEDES</t>
  </si>
  <si>
    <t>12278104-6</t>
  </si>
  <si>
    <t>GARRIDO PEREZ MARIA TERESA</t>
  </si>
  <si>
    <t>Nayadeth Paola Vicencio Ramírez</t>
  </si>
  <si>
    <t>15586083-9</t>
  </si>
  <si>
    <t>12280593-K</t>
  </si>
  <si>
    <t>VENEGAS OYARCE ALICIA DEL ROSARIO</t>
  </si>
  <si>
    <t>12280672-3</t>
  </si>
  <si>
    <t>CARRASCO FERNANDEZ ALEJANDRA TERESA</t>
  </si>
  <si>
    <t>12286189-9</t>
  </si>
  <si>
    <t>URZUA FERNANDEZ PAOLA SCARLET</t>
  </si>
  <si>
    <t>12324952-6</t>
  </si>
  <si>
    <t>REYES JARA MARIA ANGELICA</t>
  </si>
  <si>
    <t>12328688-K</t>
  </si>
  <si>
    <t>GARRIDO ARANEDA SANDRA YESSICA</t>
  </si>
  <si>
    <t>12329751-2</t>
  </si>
  <si>
    <t>PEREIRA OPAZO MARIA ISABEL</t>
  </si>
  <si>
    <t>12330964-2</t>
  </si>
  <si>
    <t>MULATO LLAO MIRTA CECILIA</t>
  </si>
  <si>
    <t>Grace Isabel Ibáñez Caceres</t>
  </si>
  <si>
    <t>12353905-2</t>
  </si>
  <si>
    <t>MARTINI MARTINI AMELIA YOLANDA</t>
  </si>
  <si>
    <t>15410812-2</t>
  </si>
  <si>
    <t>12355191-5</t>
  </si>
  <si>
    <t>MELLADO ROJAS MIRIAM CRISTINA</t>
  </si>
  <si>
    <t>MARIN ROJAS MARIA JACQUELINE</t>
  </si>
  <si>
    <t>TAPIA PEREZ SUSSY MAGALY</t>
  </si>
  <si>
    <t>RETAMALES MORALES GIOCONDA</t>
  </si>
  <si>
    <t>12407837-7</t>
  </si>
  <si>
    <t>CABELLO GARCIA XIMENA DEL CARMEN</t>
  </si>
  <si>
    <t>Rosalba del Carmen Hormazabal Valencia</t>
  </si>
  <si>
    <t>12429891-1</t>
  </si>
  <si>
    <t>MONDACA JARA MARCELA VERONICA</t>
  </si>
  <si>
    <t>9745622-4</t>
  </si>
  <si>
    <t>12466995-2</t>
  </si>
  <si>
    <t>Aguilar Lepin Paula Angela</t>
  </si>
  <si>
    <t>12469480-9</t>
  </si>
  <si>
    <t>ORTIZ CASTILLO ROSSANA ELIZABETH</t>
  </si>
  <si>
    <t>12469512-0</t>
  </si>
  <si>
    <t>SERRANO CONCHA MARIANELLA DEL CARMEN</t>
  </si>
  <si>
    <t>12469848-0</t>
  </si>
  <si>
    <t>FARIAS GUTIERREZ JACQUELINE DE LAS MERCEDES</t>
  </si>
  <si>
    <t>12472343-4</t>
  </si>
  <si>
    <t>VERGARA SALAZAR ADRIANA DEL ROSARIO</t>
  </si>
  <si>
    <t>12473711-7</t>
  </si>
  <si>
    <t>PIZARRO REYES ROSA ISABEL</t>
  </si>
  <si>
    <t>12479170-7</t>
  </si>
  <si>
    <t>ROMO PONCE YASMINA HAYDEE</t>
  </si>
  <si>
    <t>Nazira Lisette Mendoza Vergara</t>
  </si>
  <si>
    <t>12484220-4</t>
  </si>
  <si>
    <t>12874240-9</t>
  </si>
  <si>
    <t>ZAMORANO TORO MERCEDES DEL CARMEN</t>
  </si>
  <si>
    <t>12495987-K</t>
  </si>
  <si>
    <t>ROCA CONTRERAS GIOVANNA JACQUELINE</t>
  </si>
  <si>
    <t>12498917-5</t>
  </si>
  <si>
    <t>ABARCA ROJAS CRISTINA ALICIA</t>
  </si>
  <si>
    <t>12500393-1</t>
  </si>
  <si>
    <t>GOMEZ JARA VERÓNICA ISABEL</t>
  </si>
  <si>
    <t>12505106-5</t>
  </si>
  <si>
    <t>SARAVIA DONOSO ELIZABETH DEL CARMEN</t>
  </si>
  <si>
    <t>12506875-8</t>
  </si>
  <si>
    <t>Nancy Mabel Salas Riveros</t>
  </si>
  <si>
    <t>AROS ROA RUBEN HERNAN</t>
  </si>
  <si>
    <t>9721657-6</t>
  </si>
  <si>
    <t>GASFITER</t>
  </si>
  <si>
    <t>12508767-1</t>
  </si>
  <si>
    <t>REYES VENEGAS PATRICIA LORENA</t>
  </si>
  <si>
    <t>12509465-1</t>
  </si>
  <si>
    <t>CONTRERAS CORTES ANA MARIA</t>
  </si>
  <si>
    <t>12510551-3</t>
  </si>
  <si>
    <t>MONARES CABRERA ALEJANDRA ANDREA</t>
  </si>
  <si>
    <t>12512075-K</t>
  </si>
  <si>
    <t>JELVES FERRADA ANA MARIA GIANINA</t>
  </si>
  <si>
    <t>12560540-0</t>
  </si>
  <si>
    <t>FLORES CANALES YESICA VERONICA</t>
  </si>
  <si>
    <t>CONTRATO 2</t>
  </si>
  <si>
    <t>12587085-6</t>
  </si>
  <si>
    <t>Pino Soto Claudia Filomena</t>
  </si>
  <si>
    <t>12588564-0</t>
  </si>
  <si>
    <t>ARRIAGADA ALVIAL JACQUELINE DE LAS MERCEDES</t>
  </si>
  <si>
    <t>12630145-6</t>
  </si>
  <si>
    <t>RIVAS ROSENFELD CECILIA ANGELICA</t>
  </si>
  <si>
    <t>12632705-6</t>
  </si>
  <si>
    <t>PINTO ZUÑIGA PAMELA WENDOLY</t>
  </si>
  <si>
    <t>12633232-7</t>
  </si>
  <si>
    <t>ABARZUA MACIAS PAULA ANDREA</t>
  </si>
  <si>
    <t>12639817-4</t>
  </si>
  <si>
    <t>GODOY NAVARRO CAROLA ALEJANDRA</t>
  </si>
  <si>
    <t>Paola Andrea Ronda Sandoval</t>
  </si>
  <si>
    <t>12641171-5</t>
  </si>
  <si>
    <t>VERGARA SALAZAR NANCY DE LAS MERCEDES</t>
  </si>
  <si>
    <t>13656455-2</t>
  </si>
  <si>
    <t>12647838-0</t>
  </si>
  <si>
    <t>MENDOZA AGUILAR JIMENA EDITH</t>
  </si>
  <si>
    <t>12648775-4</t>
  </si>
  <si>
    <t>MUÑOZ ESPINOZA CARLOS ENRIQUE</t>
  </si>
  <si>
    <t>12651434-4</t>
  </si>
  <si>
    <t>TOLEDO MOLINA PAOLA OLINDA</t>
  </si>
  <si>
    <t>SALAZAR MUÑOZ VIVIANA ALEJANDRA</t>
  </si>
  <si>
    <t>12655350-1</t>
  </si>
  <si>
    <t>HERNANDEZ ARAYA IVONNE ANDREA</t>
  </si>
  <si>
    <t>12670299-K</t>
  </si>
  <si>
    <t>Mardones Segovia Juan Eduardo</t>
  </si>
  <si>
    <t>12672756-9</t>
  </si>
  <si>
    <t>BORQUEZ BORQUEZ MONICA DEL CARMEN</t>
  </si>
  <si>
    <t>12675006-4</t>
  </si>
  <si>
    <t>CEBALLOS ARACENA VIVIANA KATHERINE</t>
  </si>
  <si>
    <t>12675409-4</t>
  </si>
  <si>
    <t>MUÑOZ GONZÁLEZ ROSA ANA</t>
  </si>
  <si>
    <t>12676483-9</t>
  </si>
  <si>
    <t>CARREÑO TORO SANDY INGRID</t>
  </si>
  <si>
    <t>12681646-4</t>
  </si>
  <si>
    <t>GONZALEZ FUENZALIDA SUSANA DEL CARMEN</t>
  </si>
  <si>
    <t>12681928-5</t>
  </si>
  <si>
    <t>CARDENAS TAPIA PAOLA ELVIRA</t>
  </si>
  <si>
    <t>12748520-8</t>
  </si>
  <si>
    <t>QUEZADA TOLEDO MARBEL LUCILA</t>
  </si>
  <si>
    <t>12765702-5</t>
  </si>
  <si>
    <t>GUTIERREZ MUÑOZ GLADIS ALEJANDRA</t>
  </si>
  <si>
    <t>12811100-K</t>
  </si>
  <si>
    <t>SALAS REYES LORENA LISETTE</t>
  </si>
  <si>
    <t xml:space="preserve">Nathaly de los Angeles Jauregui Molina </t>
  </si>
  <si>
    <t>12811753-9</t>
  </si>
  <si>
    <t>VELASQUEZ IBARRA ROXANA MARLENE</t>
  </si>
  <si>
    <t>12812476-4</t>
  </si>
  <si>
    <t>15602265-9</t>
  </si>
  <si>
    <t>BERRIOS CISTERNAS OLGA YOLANDA</t>
  </si>
  <si>
    <t>12812680-5</t>
  </si>
  <si>
    <t>VEGA VILLAVICENCIO SOLANGE ANDREA</t>
  </si>
  <si>
    <t>12825345-9</t>
  </si>
  <si>
    <t>Riroroco Escobar Katywska</t>
  </si>
  <si>
    <t>12869616-4</t>
  </si>
  <si>
    <t>MENESES CONTRERA MARICELA MARGARITA</t>
  </si>
  <si>
    <t>MENDOZA VERGARA NAZIRA LISSETTE</t>
  </si>
  <si>
    <t>RAMIREZ JARA FANNY DEL CARMEN</t>
  </si>
  <si>
    <t>12876735-5</t>
  </si>
  <si>
    <t>ORELLANA GUTIERREZ NATALIA LORENA</t>
  </si>
  <si>
    <t>12877956-6</t>
  </si>
  <si>
    <t>PEREZ JOCHAVA YASSIA ALEJANDRA</t>
  </si>
  <si>
    <t>Contrato PMA 1</t>
  </si>
  <si>
    <t>12878662-7</t>
  </si>
  <si>
    <t>INOSTROZA ESTRADA MARIA TERESA</t>
  </si>
  <si>
    <t>Johanna  Andrea  Escudero Bustos</t>
  </si>
  <si>
    <t>12890222-8</t>
  </si>
  <si>
    <t>ZAMORA CARRASCO ELIZABETH DEL CARMEN</t>
  </si>
  <si>
    <t>12896832-6</t>
  </si>
  <si>
    <t>CATRILEO CORTÉS ELIA PATRICIA</t>
  </si>
  <si>
    <t>12897366-4</t>
  </si>
  <si>
    <t>PEREIRA FUENTES MARICEL MERCEDES</t>
  </si>
  <si>
    <t>12898587-5</t>
  </si>
  <si>
    <t>RODRIGUEZ MARIN LIDIA XIMENA</t>
  </si>
  <si>
    <t>12899642-7</t>
  </si>
  <si>
    <t>VIDAL ANTIPIL LETICIA DEL PILAR</t>
  </si>
  <si>
    <t>12900041-4</t>
  </si>
  <si>
    <t>VERDUGO ALVAREZ MARCELA SOLEDAD</t>
  </si>
  <si>
    <t>María Teresa Garrido Pérez</t>
  </si>
  <si>
    <t>12900535-1</t>
  </si>
  <si>
    <t>COLIÑIR SOLIS BÁRBARA DORIS</t>
  </si>
  <si>
    <t>VARGAS BELLO JESSICA SOLANGE</t>
  </si>
  <si>
    <t>12912200-5</t>
  </si>
  <si>
    <t>SOTO OPAZO ERICA ANGELINA</t>
  </si>
  <si>
    <t>13025013-0</t>
  </si>
  <si>
    <t>Ika Vera Marcela Melina</t>
  </si>
  <si>
    <t>13029479-0</t>
  </si>
  <si>
    <t>FERNANDEZ ROJAS BLANCA ROSA</t>
  </si>
  <si>
    <t>Patricia Macarena Cautivo Cartagena</t>
  </si>
  <si>
    <t>13030057-K</t>
  </si>
  <si>
    <t>14008031-4</t>
  </si>
  <si>
    <t>Vicencio Cuevas Andrea Elena</t>
  </si>
  <si>
    <t>BORDILLO DURAN EDITH MAGALY</t>
  </si>
  <si>
    <t>13032180-1</t>
  </si>
  <si>
    <t>Otaiza Campos Alicia del Carmen</t>
  </si>
  <si>
    <t>13033381-8</t>
  </si>
  <si>
    <t>ALLENDE BERNAL AMERICA ALICIA</t>
  </si>
  <si>
    <t>13036778-K</t>
  </si>
  <si>
    <t>PALACIOS NEGRETE ELIZABETH CATHERINE</t>
  </si>
  <si>
    <t>Jeanete del Carmen Perez Castro</t>
  </si>
  <si>
    <t>13055707-4</t>
  </si>
  <si>
    <t>LOPEZ LOPEZ DAVID ALEJANDRO</t>
  </si>
  <si>
    <t>OVIEDO CRUZ CAROLINA DEL ROSARIO</t>
  </si>
  <si>
    <t>HERNANDEZ ARAYA XIMENA ISABEL</t>
  </si>
  <si>
    <t>13059326-7</t>
  </si>
  <si>
    <t>JARAMILLO VERGARA BRITT DEL CARMEN</t>
  </si>
  <si>
    <t>13069633-3</t>
  </si>
  <si>
    <t>MORALES SUAZO MARIA MAGDALENA</t>
  </si>
  <si>
    <t>13073897-4</t>
  </si>
  <si>
    <t>Hidalgo Valdes Fabian Alfredo</t>
  </si>
  <si>
    <t>13079036-4</t>
  </si>
  <si>
    <t>NAVARRETE OLAVE GUILLERMINA LORETO</t>
  </si>
  <si>
    <t>13081596-0</t>
  </si>
  <si>
    <t>VILLAMAN DIAZ ROSA ANDREA</t>
  </si>
  <si>
    <t>María Eloisa Paredes Muñoz</t>
  </si>
  <si>
    <t>13082171-5</t>
  </si>
  <si>
    <t>CONTRERAS CORTES SUSANA ESTELA</t>
  </si>
  <si>
    <t>13082388-2</t>
  </si>
  <si>
    <t>REYES ROJAS ELIZABETH ANDREA</t>
  </si>
  <si>
    <t>7739945-3</t>
  </si>
  <si>
    <t>13084430-8</t>
  </si>
  <si>
    <t>SILVA QUINTANA MARÍA DEL CARMEN</t>
  </si>
  <si>
    <t>13085735-3</t>
  </si>
  <si>
    <t>GONZALEZ GONZALEZ ISOLINA DE LAS MERCEDES</t>
  </si>
  <si>
    <t>13090055-0</t>
  </si>
  <si>
    <t>MATURANA ABURTO MARIA MAGDALENA</t>
  </si>
  <si>
    <t>13119135-9</t>
  </si>
  <si>
    <t>González Fernandez Marcia Paola</t>
  </si>
  <si>
    <t>13126115-2</t>
  </si>
  <si>
    <t>GONZALEZ VILLACURA ORIANA DEL PILAR</t>
  </si>
  <si>
    <t>Wilma Ester Vasquez Basoalto</t>
  </si>
  <si>
    <t>13161461-6</t>
  </si>
  <si>
    <t>BALBOA CASTRO GLORIA JACQUELINE</t>
  </si>
  <si>
    <t>13197236-9</t>
  </si>
  <si>
    <t>VILLALON DIAZ PAOLA KARINA</t>
  </si>
  <si>
    <t>13199395-1</t>
  </si>
  <si>
    <t>MUÑOZ VARGAS XIMENA ANDREA</t>
  </si>
  <si>
    <t>13236356-0</t>
  </si>
  <si>
    <t>Concha Carvajal Jessica Carolina</t>
  </si>
  <si>
    <t>Contrato Auxiliar de Cocina</t>
  </si>
  <si>
    <t>13237008-7</t>
  </si>
  <si>
    <t>ALLENDE MONTERO SOLEDAD ANDREA</t>
  </si>
  <si>
    <t>GLadis del Carmen Ancatrio  Ancatrio</t>
  </si>
  <si>
    <t>13238590-4</t>
  </si>
  <si>
    <t>14214195-7</t>
  </si>
  <si>
    <t>VARELA GONZALEZ ANGELICA JOHANNA</t>
  </si>
  <si>
    <t>13238822-9</t>
  </si>
  <si>
    <t>ORREGO FRIAS CAROL IVON</t>
  </si>
  <si>
    <t>13238834-2</t>
  </si>
  <si>
    <t>MORALES ROMERO LORENA ANDREA</t>
  </si>
  <si>
    <t>13239132-7</t>
  </si>
  <si>
    <t>PIZARRO REYES PAOLA DEL CARMEN</t>
  </si>
  <si>
    <t>13240275-2</t>
  </si>
  <si>
    <t>RENCORET LEIVA KATHERINNE VERONICA</t>
  </si>
  <si>
    <t>Sofia Fabiola Gomez Zamorano</t>
  </si>
  <si>
    <t>16517968-4</t>
  </si>
  <si>
    <t>13250154-8</t>
  </si>
  <si>
    <t>ARAYA RAMIREZ CAROLINA ANA</t>
  </si>
  <si>
    <t>13251197-7</t>
  </si>
  <si>
    <t>CASMER FAUNDEZ ANA MARIA</t>
  </si>
  <si>
    <t>13261542-K</t>
  </si>
  <si>
    <t>RONDA SANDOVAL EDITH DEL CARMEN</t>
  </si>
  <si>
    <t>13262119-5</t>
  </si>
  <si>
    <t>AGUIRRE GUZMAN MARIA TERESA</t>
  </si>
  <si>
    <t>13264826-3</t>
  </si>
  <si>
    <t>LORCA PEREIRA IRIS ANDREA</t>
  </si>
  <si>
    <t>Contrato Auxiliar de Bodega</t>
  </si>
  <si>
    <t>13269936-4</t>
  </si>
  <si>
    <t>Maritza Isabel Suarez Gutiérrez</t>
  </si>
  <si>
    <t>NOVOA ALMENDRAS ELIZABETH XIMENA</t>
  </si>
  <si>
    <t>13293900-4</t>
  </si>
  <si>
    <t>Gavilan Martinez Maria Soledad</t>
  </si>
  <si>
    <t>13298508-1</t>
  </si>
  <si>
    <t>GONZALEZ SAN MARTIN PAMELA GRACIELA</t>
  </si>
  <si>
    <t>13298689-4</t>
  </si>
  <si>
    <t>SALAS CORONADO AIDA MARIA</t>
  </si>
  <si>
    <t>13311680-K</t>
  </si>
  <si>
    <t>MORA LEIVA GLORIA ALEJANDRA</t>
  </si>
  <si>
    <t>13369144-8</t>
  </si>
  <si>
    <t>Soledad Andrea Allende Montero</t>
  </si>
  <si>
    <t>CORNEJO URIBE ANDREA DE LAS MERCEDES</t>
  </si>
  <si>
    <t>13436566-8</t>
  </si>
  <si>
    <t>CAYUL HUENTECURA MARCELA ADRIANA</t>
  </si>
  <si>
    <t>13439130-8</t>
  </si>
  <si>
    <t>ROJAS BRAVO JULIA SOLEDAD</t>
  </si>
  <si>
    <t>13443734-0</t>
  </si>
  <si>
    <t>GUZMAN RIVERA LORENA ANDREA</t>
  </si>
  <si>
    <t>13450346-7</t>
  </si>
  <si>
    <t>ACUÑA VALDÉS MÓNICA ALEJANDRA</t>
  </si>
  <si>
    <t>Jacqueline del Carmen Muñoz Lagos</t>
  </si>
  <si>
    <t>13451278-4</t>
  </si>
  <si>
    <t>SERRA TAGLE JOSE IGNACIO</t>
  </si>
  <si>
    <t>Contrato Prevencionista 3</t>
  </si>
  <si>
    <t>13459009-2</t>
  </si>
  <si>
    <t>SALGADO MESIAS JEANETTE DEL CARMEN</t>
  </si>
  <si>
    <t>13460287-2</t>
  </si>
  <si>
    <t>JEREZ SOTO MARIA CECILIA</t>
  </si>
  <si>
    <t>13464100-2</t>
  </si>
  <si>
    <t>RETAMAL MEDINA PATRICIA LORENA</t>
  </si>
  <si>
    <t>Lilian Yanet Coa Salinas</t>
  </si>
  <si>
    <t>13466373-1</t>
  </si>
  <si>
    <t>LILLO PIZARRO CLAUDIA BEATRIZ</t>
  </si>
  <si>
    <t>13469498-K</t>
  </si>
  <si>
    <t>Luttecke Rios Hildegard</t>
  </si>
  <si>
    <t>13474656-4</t>
  </si>
  <si>
    <t>Pinto Moncada Claudia Andrea</t>
  </si>
  <si>
    <t>13477289-1</t>
  </si>
  <si>
    <t>AREJULA MONROI LUISA REBECA</t>
  </si>
  <si>
    <t>13489622-1</t>
  </si>
  <si>
    <t>SEPÚLVEDA MORI MÓNICA JAQUELINE</t>
  </si>
  <si>
    <t>13490241-8</t>
  </si>
  <si>
    <t>ITURRIETA SAEZ ROMINA JESSICA</t>
  </si>
  <si>
    <t>13513357-4</t>
  </si>
  <si>
    <t>CARRILLO ANCATRIO ALICIA PAOLA</t>
  </si>
  <si>
    <t>Rodolfina del Carmen Tapia Donoso</t>
  </si>
  <si>
    <t>13522645-9</t>
  </si>
  <si>
    <t>Gonzalez Fernandez Jaime Federico</t>
  </si>
  <si>
    <t>13555303-4</t>
  </si>
  <si>
    <t>CONTRERAS ZUÑIGA ANA MARIA</t>
  </si>
  <si>
    <t>13565567-8</t>
  </si>
  <si>
    <t>TOLOZA ROJAS PAULINA ANTONIETA</t>
  </si>
  <si>
    <t>Alicia Paola Carrillo Ancatrio</t>
  </si>
  <si>
    <t>13566049-3</t>
  </si>
  <si>
    <t>FAJARDO RAMIREZ ADELA DEL CARMEN</t>
  </si>
  <si>
    <t>13591999-3</t>
  </si>
  <si>
    <t>AGUILAR VELASQUEZ PAOLA ALEJANDRA</t>
  </si>
  <si>
    <t>13644456-5</t>
  </si>
  <si>
    <t>ROJAS HIDALGO RAFAELLA LUISA</t>
  </si>
  <si>
    <t>13655533-2</t>
  </si>
  <si>
    <t>PINTO ASTUDILLO GISELA AIDA</t>
  </si>
  <si>
    <t>RONDA SANDOVAL PAOLA ANDREA</t>
  </si>
  <si>
    <t>Yasmina Haydee Romo Ponce</t>
  </si>
  <si>
    <t>13656896-5</t>
  </si>
  <si>
    <t>AGUILAR CASTRO KATHERINE IVONNE</t>
  </si>
  <si>
    <t>13662139-4</t>
  </si>
  <si>
    <t>MARQUEZ SOTO PATRICIA ANDREA</t>
  </si>
  <si>
    <t>13662267-6</t>
  </si>
  <si>
    <t>OTAROLA ACEVEDO SANDRA DEL CARMEN</t>
  </si>
  <si>
    <t>13664301-0</t>
  </si>
  <si>
    <t>ARELLANO ROBILLIARD BEATRIZ DE LOS ANGELES</t>
  </si>
  <si>
    <t>13677183-3</t>
  </si>
  <si>
    <t>ACUÑA VALDES JOHANNA DEL CARMEN</t>
  </si>
  <si>
    <t>13689247-9</t>
  </si>
  <si>
    <t>JIMENEZ CAICOMPAI ELSA DE LAS MERCEDES</t>
  </si>
  <si>
    <t>Angelica Lisette Aguila Heredia</t>
  </si>
  <si>
    <t>13692040-5</t>
  </si>
  <si>
    <t>QUEZADA GONZALEZ MYRIAM CAROLINA</t>
  </si>
  <si>
    <t>14162534-9</t>
  </si>
  <si>
    <t>13692708-6</t>
  </si>
  <si>
    <t>IBARRA ARTEAGA ERIKA DEL CARMEN</t>
  </si>
  <si>
    <t>13695700-7</t>
  </si>
  <si>
    <t>SALAZAR TOLEDO LAURA SOLEDAD</t>
  </si>
  <si>
    <t>13700805-K</t>
  </si>
  <si>
    <t>Patricia Astudillo Carvacho</t>
  </si>
  <si>
    <t>BAHAMONDES BAHAMONDES SOLANGE DE LAS NIEVES</t>
  </si>
  <si>
    <t>7667661-5</t>
  </si>
  <si>
    <t>13702973-1</t>
  </si>
  <si>
    <t>CABEZAS LEIVA MARIA GRACIELA</t>
  </si>
  <si>
    <t>13705448-5</t>
  </si>
  <si>
    <t>DELGADO COLLADO JACQUELINE ALEJANDRA</t>
  </si>
  <si>
    <t>13705655-0</t>
  </si>
  <si>
    <t>CUEVAS OLIVA JULIO ANICETO</t>
  </si>
  <si>
    <t>13706975-K</t>
  </si>
  <si>
    <t>LABARCA JARA CLAUDIA ANDREA</t>
  </si>
  <si>
    <t>Claudia Andrea Barrera Vilchez</t>
  </si>
  <si>
    <t>13709185-2</t>
  </si>
  <si>
    <t>15780222-4</t>
  </si>
  <si>
    <t>MATUS MATUS CAROLYN CHARLOTTE</t>
  </si>
  <si>
    <t>13709228-K</t>
  </si>
  <si>
    <t>VIDAL MUÑOZ EVELYN HELEN</t>
  </si>
  <si>
    <t>13709554-8</t>
  </si>
  <si>
    <t>OLIVARES GACITUA ARELI ESMERALDA</t>
  </si>
  <si>
    <t>13709885-7</t>
  </si>
  <si>
    <t>AZOCAR PIUTRIN DAYANA DEL CARMEN</t>
  </si>
  <si>
    <t>13711756-8</t>
  </si>
  <si>
    <t>AILLAPAN MARTINEZ ERIKA MARGOT</t>
  </si>
  <si>
    <t>13711982-K</t>
  </si>
  <si>
    <t>ORTIZ ARANCIBIA MARÍA PAZ ORTIZ</t>
  </si>
  <si>
    <t>13713964-2</t>
  </si>
  <si>
    <t>PEREZ SEGOVIA ESTEBAN DE JESUS</t>
  </si>
  <si>
    <t>13714019-5</t>
  </si>
  <si>
    <t>ARRUE MACHUCA CLAUDIO ANDRES</t>
  </si>
  <si>
    <t>Auxiliar de Bodega</t>
  </si>
  <si>
    <t>Evelyn Arlette Carcamo Rodríguez</t>
  </si>
  <si>
    <t>13755431-3</t>
  </si>
  <si>
    <t>PEREZ LOPEZ FABIOLA ISABEL</t>
  </si>
  <si>
    <t>15800645-6</t>
  </si>
  <si>
    <t>13828189-2</t>
  </si>
  <si>
    <t>GONZALEZ SPADARO GABRIELA ANDREA</t>
  </si>
  <si>
    <t>13833097-4</t>
  </si>
  <si>
    <t>ROJAS RIVERA SANDRA DEL PILAR</t>
  </si>
  <si>
    <t>ARAGON VALDEZ LYNDA RAQUEL</t>
  </si>
  <si>
    <t>13837052-6</t>
  </si>
  <si>
    <t>MUÑOZ QUINTANA IVONNE DEL CARMEN</t>
  </si>
  <si>
    <t>13840264-9</t>
  </si>
  <si>
    <t>Sepulveda Leviñir Maria Luisa</t>
  </si>
  <si>
    <t xml:space="preserve">Isabel Susana Troncoso Lubi </t>
  </si>
  <si>
    <t>13840687-3</t>
  </si>
  <si>
    <t>ORELLANA MARTÍNEZ CAROLINA ANDREA</t>
  </si>
  <si>
    <t>8953455-0</t>
  </si>
  <si>
    <t>13896026-9</t>
  </si>
  <si>
    <t>AGUILAR CASTRO EVELYN ROXANA</t>
  </si>
  <si>
    <t>13913811-2</t>
  </si>
  <si>
    <t>BENITEZ PARRA LETICIA MARGARITA</t>
  </si>
  <si>
    <t>13926255-7</t>
  </si>
  <si>
    <t>BRICEÑO JAÑA CAROLINA ANDREA</t>
  </si>
  <si>
    <t>13930061-0</t>
  </si>
  <si>
    <t>Sepúlveda Quezada Susana</t>
  </si>
  <si>
    <t>13937812-1</t>
  </si>
  <si>
    <t>GARCÍA ALFARO GIOVANNA ANGELINA</t>
  </si>
  <si>
    <t>13941220-6</t>
  </si>
  <si>
    <t>PONCE ASTORGA MARTA JENNIFER</t>
  </si>
  <si>
    <t>Sonia Patricia Mora Ibacache</t>
  </si>
  <si>
    <t>13948468-1</t>
  </si>
  <si>
    <t>MUÑOZ MIRANDA MARIA TERESA</t>
  </si>
  <si>
    <t>14361557-K</t>
  </si>
  <si>
    <t>13966995-9</t>
  </si>
  <si>
    <t>QUEZADA MARIO EDITH LORENA</t>
  </si>
  <si>
    <t>13968482-6</t>
  </si>
  <si>
    <t>Osorio Nieto Javier Andres</t>
  </si>
  <si>
    <t>14005929-3</t>
  </si>
  <si>
    <t>PREISLER SORIANO CECILIA ALEJANDRA</t>
  </si>
  <si>
    <t>CAUTIVO CARTAGENA PATRICIA MACARENA</t>
  </si>
  <si>
    <t>14032784-0</t>
  </si>
  <si>
    <t>ZUÑIGA VALENCIA JESSICA DEL CARMEN</t>
  </si>
  <si>
    <t>14039893-4</t>
  </si>
  <si>
    <t>CARRASCO BAHAMONDE ROSA VIVIANA</t>
  </si>
  <si>
    <t>14058157-7</t>
  </si>
  <si>
    <t>SUAZO BAEZA JACQUELINE</t>
  </si>
  <si>
    <t>14077537-1</t>
  </si>
  <si>
    <t>CALFUMÁN LLANOS JENNIFER DEL CARMEN</t>
  </si>
  <si>
    <t>14128091-0</t>
  </si>
  <si>
    <t>Araya Carcamo Claudia</t>
  </si>
  <si>
    <t>Carmen Luisa Tapia  Salinas</t>
  </si>
  <si>
    <t>14135360-8</t>
  </si>
  <si>
    <t>CONTRERAS FUENTES CLAUDIA CAROLINA</t>
  </si>
  <si>
    <t>14150419-3</t>
  </si>
  <si>
    <t>ABURTO CUESTA CECILIA ANDREA</t>
  </si>
  <si>
    <t>14151548-9</t>
  </si>
  <si>
    <t>SALINAS BENITEZ ERIKA ANDREA</t>
  </si>
  <si>
    <t>AGUILA HEREDIA ANGELICA LISSETTE</t>
  </si>
  <si>
    <t>14181304-8</t>
  </si>
  <si>
    <t>BRAVO ACUÑA MABEL ERMINDA</t>
  </si>
  <si>
    <t>14182815-0</t>
  </si>
  <si>
    <t>GONZALEZ DIAZ. ERIKA VALERIA</t>
  </si>
  <si>
    <t>14183554-8</t>
  </si>
  <si>
    <t>VIVANCO BRIONES FABIOLA ANDREA</t>
  </si>
  <si>
    <t>ANCATRIO ANCATRIO GLADYS DEL CARMEN</t>
  </si>
  <si>
    <t>14255759-2</t>
  </si>
  <si>
    <t>SEPULVEDA NAVARRETE JACQUELINE ALEJANDRA</t>
  </si>
  <si>
    <t>14256775-K</t>
  </si>
  <si>
    <t>VÁSQUEZ LEÓN SUSANA DEL CARMEN</t>
  </si>
  <si>
    <t>14259446-3</t>
  </si>
  <si>
    <t>CEPEDA NUÑEZ MARIBEL SOLEDAD</t>
  </si>
  <si>
    <t>14277164-0</t>
  </si>
  <si>
    <t>BRIONES SOTO INGRID PAOLA</t>
  </si>
  <si>
    <t>Mónica Fabiola Caro Cifuentes</t>
  </si>
  <si>
    <t>14303859-9</t>
  </si>
  <si>
    <t>SANDOVAL BRAVO MARCELA DE LOURDES</t>
  </si>
  <si>
    <t>14317165-5</t>
  </si>
  <si>
    <t>MORALES CARMONA MARY LUZ</t>
  </si>
  <si>
    <t>14320996-2</t>
  </si>
  <si>
    <t>SEPULVEDA YAÑEZ EVA ELISA</t>
  </si>
  <si>
    <t>MORA IBACACHE SONIA PATRICIA</t>
  </si>
  <si>
    <t>14362176-6</t>
  </si>
  <si>
    <t>PARADA GUERRA NAYARET MAGDA</t>
  </si>
  <si>
    <t>14364755-2</t>
  </si>
  <si>
    <t>ZURITA MORAGA CLAUDIA XIMENA</t>
  </si>
  <si>
    <t>14364757-9</t>
  </si>
  <si>
    <t>SUAREZ ASTUDILLO ELSA MARIA</t>
  </si>
  <si>
    <t>14414637-9</t>
  </si>
  <si>
    <t>Paoa Tuki Maria Irma</t>
  </si>
  <si>
    <t>14417569-7</t>
  </si>
  <si>
    <t>ZARATE MILLACARIS OLGA DEL CARMEN</t>
  </si>
  <si>
    <t>14480990-4</t>
  </si>
  <si>
    <t>MORALES VARGAS MARIELA GREACE</t>
  </si>
  <si>
    <t>14485564-7</t>
  </si>
  <si>
    <t>CHACON ORTEGA JEANNETTE DEL PILAR</t>
  </si>
  <si>
    <t>Bernarda de Lourdes Hormazabal Cortés</t>
  </si>
  <si>
    <t>7892109-9</t>
  </si>
  <si>
    <t>14512673-8</t>
  </si>
  <si>
    <t>GUTIERREZ MUÑOZ SANDRA EUGENIA</t>
  </si>
  <si>
    <t>14518594-7</t>
  </si>
  <si>
    <t>Rodriguez Monica Juana</t>
  </si>
  <si>
    <t>Contrato 4</t>
  </si>
  <si>
    <t>14560518-0</t>
  </si>
  <si>
    <t>ORELLANA ORELLANA XIMENA DEL CARMEN</t>
  </si>
  <si>
    <t>14566228-1</t>
  </si>
  <si>
    <t>CARO GODOY ALEJANDRA MAGDALENA</t>
  </si>
  <si>
    <t>14567587-1</t>
  </si>
  <si>
    <t>CESPEDES VERDUGO PATRICIA ESTER</t>
  </si>
  <si>
    <t>Rosa Yanet  Palacios Vidal</t>
  </si>
  <si>
    <t>15376076-4</t>
  </si>
  <si>
    <t>14580509-0</t>
  </si>
  <si>
    <t>ESPINOZA CRUZ NATHALIE DE LAS MERCEDES</t>
  </si>
  <si>
    <t>CONTRATO AUXILIAR DE BODEGA</t>
  </si>
  <si>
    <t>14589640-1</t>
  </si>
  <si>
    <t>HURTADO GONZALEZ KATHERINE MACARENA</t>
  </si>
  <si>
    <t>14605218-5</t>
  </si>
  <si>
    <t>MARTINEZ QUINTUL CARMEN GLORIA</t>
  </si>
  <si>
    <t>14608361-7</t>
  </si>
  <si>
    <t>FUENTES PAIVA XIMENA ALEJANDRA</t>
  </si>
  <si>
    <t>14609417-1</t>
  </si>
  <si>
    <t>CAYUN ROJAS ELIZABETH GUADALUPE</t>
  </si>
  <si>
    <t>14664391-4</t>
  </si>
  <si>
    <t>Ruth de las Mercedes Pérez Riquelme</t>
  </si>
  <si>
    <t>ARENAZA LEON ROXANA EDITH</t>
  </si>
  <si>
    <t>6903773-9</t>
  </si>
  <si>
    <t>14665285-9</t>
  </si>
  <si>
    <t>Angulo Delgado Julio</t>
  </si>
  <si>
    <t>14669467-5</t>
  </si>
  <si>
    <t>Quirola De la Cruz Manuel María</t>
  </si>
  <si>
    <t>14901017-3</t>
  </si>
  <si>
    <t>SALAZAR CABEZAS SILVIA DE LAS MERCEDES</t>
  </si>
  <si>
    <t>14903545-1</t>
  </si>
  <si>
    <t>CELPA VALDEBENITO ANGELA MACARENA</t>
  </si>
  <si>
    <t>14904484-1</t>
  </si>
  <si>
    <t>MENDOZA MENDOZA KATHERINE DEL ROSARIO</t>
  </si>
  <si>
    <t>14904633-K</t>
  </si>
  <si>
    <t>Erna Elizabeth Gómez Girón</t>
  </si>
  <si>
    <t>DIAZ MONSALVE MARCELA INES</t>
  </si>
  <si>
    <t>16083158-8</t>
  </si>
  <si>
    <t>14908987-K</t>
  </si>
  <si>
    <t>ALLENDES SANTANDER ROXANA DEL CARMEN</t>
  </si>
  <si>
    <t>14910106-3</t>
  </si>
  <si>
    <t>CHAVEZ HERNANDEZ MARCELA</t>
  </si>
  <si>
    <t>Eva Elisa Sepulveda Yáñez</t>
  </si>
  <si>
    <t>15082332-3</t>
  </si>
  <si>
    <t>Roman Reigada David Ricardo</t>
  </si>
  <si>
    <t>15092890-7</t>
  </si>
  <si>
    <t>GONZALEZ VARGAS YENNIFER YASMIN</t>
  </si>
  <si>
    <t>15161204-0</t>
  </si>
  <si>
    <t>GARRIDO SANDOVAL ANGELICA DEL CARMEN</t>
  </si>
  <si>
    <t>15274908-2</t>
  </si>
  <si>
    <t xml:space="preserve">Paula Andrea Abarzua Macías </t>
  </si>
  <si>
    <t>GALLARDO LEFIAN ANA MARIA</t>
  </si>
  <si>
    <t>15277904-6</t>
  </si>
  <si>
    <t>MARTINEZ QUINTUL CRISTINA ALEJANDRA</t>
  </si>
  <si>
    <t>15328701-5</t>
  </si>
  <si>
    <t>MARICAN REYES JEANNETTE PAOLA</t>
  </si>
  <si>
    <t>15349122-4</t>
  </si>
  <si>
    <t>CARMONA MARTINEZ ANDREA YESENIA</t>
  </si>
  <si>
    <t>15350772-4</t>
  </si>
  <si>
    <t>MORALES CHAVEZ RUTH MONICA</t>
  </si>
  <si>
    <t>Camila Javiera Muñoz Ramírez</t>
  </si>
  <si>
    <t>15351101-2</t>
  </si>
  <si>
    <t>Lillo Pizarro Leslie Mabel</t>
  </si>
  <si>
    <t>18849854-K</t>
  </si>
  <si>
    <t>15356048-K</t>
  </si>
  <si>
    <t>CHAVEZ URRUTIA JESSICA DEL PILAR</t>
  </si>
  <si>
    <t>15359261-6</t>
  </si>
  <si>
    <t>PEREZ CASTRO MARIA ISABEL</t>
  </si>
  <si>
    <t>15371235-2</t>
  </si>
  <si>
    <t>ABARCA HUAIQUE BÁRBARA BERNARDITA</t>
  </si>
  <si>
    <t>PALACIOS VIDAL ROSA YANETT</t>
  </si>
  <si>
    <t>15391199-1</t>
  </si>
  <si>
    <t>Adriana Valeska Canio  Cisterna</t>
  </si>
  <si>
    <t>LABRIN SANTIBAÑEZ ANDREA VALESKA</t>
  </si>
  <si>
    <t>15392761-8</t>
  </si>
  <si>
    <t>LOPEZ ESCARES CAROL DAISY</t>
  </si>
  <si>
    <t>15394148-3</t>
  </si>
  <si>
    <t>GALINDO OPAZO MARIA JOSE</t>
  </si>
  <si>
    <t>15409407-5</t>
  </si>
  <si>
    <t>BAVESTRELLO ZAPATA ANA MARIA</t>
  </si>
  <si>
    <t>IBAÑEZ CACERES GRACE ISABEL</t>
  </si>
  <si>
    <t>Evelyn Lisette San martin Morales</t>
  </si>
  <si>
    <t>15483720-5</t>
  </si>
  <si>
    <t>15416047-7</t>
  </si>
  <si>
    <t>RETAMALES ALBURQUENQUE CLAUDIA ANDREA</t>
  </si>
  <si>
    <t>15422164-6</t>
  </si>
  <si>
    <t>HIDALGO SALINAS JOCELYN ANDREA</t>
  </si>
  <si>
    <t>15422594-3</t>
  </si>
  <si>
    <t>MUÑOZ MUÑOZ MARIA DEL CARMEN</t>
  </si>
  <si>
    <t>15423144-7</t>
  </si>
  <si>
    <t>ASTORGA FARIAS CECILIA ALEJANDRA</t>
  </si>
  <si>
    <t>15426812-K</t>
  </si>
  <si>
    <t>RUBIO GONZALEZ VERONICA DEL CARMEN</t>
  </si>
  <si>
    <t>15434105-6</t>
  </si>
  <si>
    <t>ROMAN LILLO CRISTIAN MARCELO</t>
  </si>
  <si>
    <t>Lucero Nicole Hermosilla Ayala</t>
  </si>
  <si>
    <t>18329507-1</t>
  </si>
  <si>
    <t>15435571-5</t>
  </si>
  <si>
    <t>ARELLANO RIVEROS SARA FRANCISCA</t>
  </si>
  <si>
    <t>15435580-4</t>
  </si>
  <si>
    <t>CORNEJO ESPINOZA FABIOLA YAZMIN</t>
  </si>
  <si>
    <t>15435933-8</t>
  </si>
  <si>
    <t>GONZALEZ VARGAS NATALY EULALIA</t>
  </si>
  <si>
    <t>15437974-6</t>
  </si>
  <si>
    <t>GUTIERREZ MANRIQUEZ ELIZABETH DEL CARMEN</t>
  </si>
  <si>
    <t xml:space="preserve">Leticia del Pilar Vidal Antipil </t>
  </si>
  <si>
    <t>15440500-3</t>
  </si>
  <si>
    <t>GONZÁLEZ SAAVEDRA MARIELA ALEJANDRA</t>
  </si>
  <si>
    <t>15448204-0</t>
  </si>
  <si>
    <t>SALGADO AMESTICA CAROLINA DEL CARMEN</t>
  </si>
  <si>
    <t>15454844-0</t>
  </si>
  <si>
    <t>CHACON ORTEGA JOCELYN MARGARITA</t>
  </si>
  <si>
    <t>Sandra del Carmen Otárola Acevedo</t>
  </si>
  <si>
    <t>15472855-4</t>
  </si>
  <si>
    <t>SEPULVEDA MANQUELIPE YASNA DEL CARMEN</t>
  </si>
  <si>
    <t>15479761-0</t>
  </si>
  <si>
    <t>DIAZ HERRERA CAROLINA ALEJANDRA</t>
  </si>
  <si>
    <t>15481113-3</t>
  </si>
  <si>
    <t>Tamara Andrea Cristy Pradel</t>
  </si>
  <si>
    <t>FIGUEROA VERDUGO ISABEL ESTER</t>
  </si>
  <si>
    <t>18279265-9</t>
  </si>
  <si>
    <t>ZAPATA YAÑEZ JOCELYN DEL CARMEN</t>
  </si>
  <si>
    <t>15482983-0</t>
  </si>
  <si>
    <t>ACEVEDO GONZALEZ KATHERINE ELIZABETH</t>
  </si>
  <si>
    <t>Génesis Griselda Almarza González</t>
  </si>
  <si>
    <t>15483032-4</t>
  </si>
  <si>
    <t>19586396-2</t>
  </si>
  <si>
    <t>VALDIVIA VALDIVIA JULIA DEL CARMEN</t>
  </si>
  <si>
    <t>15483111-8</t>
  </si>
  <si>
    <t>VARGAS TAPIA MARCELA ANDREA</t>
  </si>
  <si>
    <t>SAN MARTIN MORALES EVELYN LISSETTE</t>
  </si>
  <si>
    <t>15484733-2</t>
  </si>
  <si>
    <t>CLAVEAU FABRES MARGARITA ANDREA</t>
  </si>
  <si>
    <t>Margarita de las Mercedes Reyes Rosales</t>
  </si>
  <si>
    <t>15504486-1</t>
  </si>
  <si>
    <t>TRONCOSO DUCOS KATHERINE ELIZABETH</t>
  </si>
  <si>
    <t>ABURTO SILVA ELIZABETH JOHANNA</t>
  </si>
  <si>
    <t>15507532-5</t>
  </si>
  <si>
    <t>ORTIZ ZAPATA CLARA DEL CARMEN</t>
  </si>
  <si>
    <t>15537199-4</t>
  </si>
  <si>
    <t>GONZALEZ REBOLLEDO GUILLERMINA FRANCISCA</t>
  </si>
  <si>
    <t>15538773-4</t>
  </si>
  <si>
    <t>GONZALEZ CARREÑO EVELYN ELIZABETH</t>
  </si>
  <si>
    <t>15543000-1</t>
  </si>
  <si>
    <t>ORELLANA AVENDAÑO MARIELA ALEJANDRA</t>
  </si>
  <si>
    <t>Olga Maria Álvarez del Río</t>
  </si>
  <si>
    <t>15546425-9</t>
  </si>
  <si>
    <t>Leficura Llancafil Natividad del Pilar</t>
  </si>
  <si>
    <t>15565417-1</t>
  </si>
  <si>
    <t>GOMEZ SALAS JACQUELINE PAOLA</t>
  </si>
  <si>
    <t>15566766-4</t>
  </si>
  <si>
    <t>QUINTEROS SANTANA CLAUDIO ANDRES</t>
  </si>
  <si>
    <t>ESCANILLA MUÑOZ VIRGINIA DEL CARMEN</t>
  </si>
  <si>
    <t>15584273-3</t>
  </si>
  <si>
    <t>DELGADO GONZALEZ LUCIA GEORGINA</t>
  </si>
  <si>
    <t>15585281-K</t>
  </si>
  <si>
    <t>VEGA OJEDA TERESA DEL CARMEN</t>
  </si>
  <si>
    <t>VICENCIO RAMIREZ NAYADETH PAOLA</t>
  </si>
  <si>
    <t>Rosa Viviana Carrasco Bahamondes</t>
  </si>
  <si>
    <t>GOMEZ NUÑEZ KATHERINE ISABEL</t>
  </si>
  <si>
    <t>15588286-7</t>
  </si>
  <si>
    <t>CABELLO GARCIA ANGELA MARJORIE</t>
  </si>
  <si>
    <t>15589233-1</t>
  </si>
  <si>
    <t>MEDEL GARCIA LORENA DEL CARMEN</t>
  </si>
  <si>
    <t>JAUREGUI MOLINA NATHALY DE LOS ANGELES</t>
  </si>
  <si>
    <t>15608130-2</t>
  </si>
  <si>
    <t>GONZALEZ LOPEZ KARINA DEL CARMEN</t>
  </si>
  <si>
    <t>15662883-2</t>
  </si>
  <si>
    <t>ARAYA LOPEZ JESSICA MARCELA</t>
  </si>
  <si>
    <t>15669595-5</t>
  </si>
  <si>
    <t>NEIRA SALAZAR ANA BELEN</t>
  </si>
  <si>
    <t>15702517-1</t>
  </si>
  <si>
    <t>NAVARRO ESPINOZA SOLEDAD ANDREA</t>
  </si>
  <si>
    <t>15708589-1</t>
  </si>
  <si>
    <t>GONZALEZ PINCHETTI CLAUDIA VIVIANA</t>
  </si>
  <si>
    <t>15709366-5</t>
  </si>
  <si>
    <t>MARAOLIS CHIHUAILLAN MARGARITA DEL CARMEN</t>
  </si>
  <si>
    <t>15744053-5</t>
  </si>
  <si>
    <t>SANHUEZA TAPIA KATHERINE FANNY</t>
  </si>
  <si>
    <t>15768117-6</t>
  </si>
  <si>
    <t>ENCINA JORQUERA FABIAN ESTEBAN</t>
  </si>
  <si>
    <t>15777318-6</t>
  </si>
  <si>
    <t>CABELLO SANDOVAL JESSENIA TAMARA DEL CARMEN</t>
  </si>
  <si>
    <t>Elizabeth Catherine Palacios Negrete</t>
  </si>
  <si>
    <t>BARRERA VILCHES CLAUDIA ANDREA</t>
  </si>
  <si>
    <t>15787924-3</t>
  </si>
  <si>
    <t>LEPE MIRANDA TABITA ESTER</t>
  </si>
  <si>
    <t>15797811-K</t>
  </si>
  <si>
    <t>LAGOS ARAMBURO CAROLINA YAZMIN</t>
  </si>
  <si>
    <t>15799257-0</t>
  </si>
  <si>
    <t>ALVAREZ REYES ABRAHAM ORLANDO</t>
  </si>
  <si>
    <t>15800335-K</t>
  </si>
  <si>
    <t>MIRANDA SEPULVEDA BERNARDITA ALEJANDRA</t>
  </si>
  <si>
    <t>CARCAMO RODRIGUEZ EVELYN ARLETTE</t>
  </si>
  <si>
    <t>15821099-1</t>
  </si>
  <si>
    <t>NILO GUAJARDO MARIA JOSE</t>
  </si>
  <si>
    <t>Isolina de las Mercedes González González</t>
  </si>
  <si>
    <t>15822373-2</t>
  </si>
  <si>
    <t>STUARDO GUZMÁN VIVIANA ANDREA</t>
  </si>
  <si>
    <t>15824672-4</t>
  </si>
  <si>
    <t>LIZANA ORTEGA EVELYN ALEJANDRA</t>
  </si>
  <si>
    <t>15824712-7</t>
  </si>
  <si>
    <t>CARO CARO NORMA NATALIE</t>
  </si>
  <si>
    <t>15838609-7</t>
  </si>
  <si>
    <t>FONCEDA DONOSO MARIA LORETO</t>
  </si>
  <si>
    <t>15845824-1</t>
  </si>
  <si>
    <t>MARTINEZ ANTIMAN MARIANA DEL CARMEN</t>
  </si>
  <si>
    <t>15889865-9</t>
  </si>
  <si>
    <t>PÉREZ DROGUETT CLAUDIA ANDREA</t>
  </si>
  <si>
    <t>15939862-5</t>
  </si>
  <si>
    <t>PEÑA SILVA MARIA JOSE</t>
  </si>
  <si>
    <t>15957942-5</t>
  </si>
  <si>
    <t>VILLAR GODOY DANIELA DENISSE</t>
  </si>
  <si>
    <t xml:space="preserve">Fernanda Tabita Melillan Garrido </t>
  </si>
  <si>
    <t>15964703-K</t>
  </si>
  <si>
    <t>ROSALES TOBAR LUISA DEL ROSARIO</t>
  </si>
  <si>
    <t>19678087-4</t>
  </si>
  <si>
    <t>15977667-0</t>
  </si>
  <si>
    <t>LANAS PEÑA DIANA ELIZABETH</t>
  </si>
  <si>
    <t>16015690-2</t>
  </si>
  <si>
    <t>LUEIZA MANQUELIPE CLAUDIA ANDREA</t>
  </si>
  <si>
    <t>16025348-7</t>
  </si>
  <si>
    <t>Gomez Ruz Maria Jose</t>
  </si>
  <si>
    <t xml:space="preserve">Estefanía Magaly Gallardo Rojas </t>
  </si>
  <si>
    <t>16025837-3</t>
  </si>
  <si>
    <t>16787712-5</t>
  </si>
  <si>
    <t>LARA RAMIREZ CLAUDIA NATHALIE</t>
  </si>
  <si>
    <t>16028586-9</t>
  </si>
  <si>
    <t>CONTRERAS MUÑOZ YOCELYN ANDREA</t>
  </si>
  <si>
    <t>16029554-6</t>
  </si>
  <si>
    <t>ALARCÓN POBLETE EDITH DEL CARMEN</t>
  </si>
  <si>
    <t>16044258-1</t>
  </si>
  <si>
    <t>JIMENEZ ORTIZ JOCELYN MACARENA</t>
  </si>
  <si>
    <t xml:space="preserve">Monica del Carmen Borquez Borquez </t>
  </si>
  <si>
    <t>16046071-7</t>
  </si>
  <si>
    <t>SALAZAR VELASQUEZ KATHERINE ANDREA</t>
  </si>
  <si>
    <t>16079904-8</t>
  </si>
  <si>
    <t>Atan Rodríguez Ines del Carmen</t>
  </si>
  <si>
    <t>16082180-9</t>
  </si>
  <si>
    <t>MOYA GONZALEZ VANESSA ANDREA</t>
  </si>
  <si>
    <t>GOMEZ GIRON ERNA ELIZABETH</t>
  </si>
  <si>
    <t>Soledad Ivonne Gutierrez Valdivia</t>
  </si>
  <si>
    <t>16083745-4</t>
  </si>
  <si>
    <t>SILVA VALENZUELA MICHELLE CAROLINA</t>
  </si>
  <si>
    <t>16084373-K</t>
  </si>
  <si>
    <t>DEL CANTO VILLARREAL JENNIFER ROMINA</t>
  </si>
  <si>
    <t>16085455-3</t>
  </si>
  <si>
    <t>MONSALVE HERRERA KATHERINE DEL CARMEN</t>
  </si>
  <si>
    <t>16085526-6</t>
  </si>
  <si>
    <t>Patricia Lorena Retamal Medina</t>
  </si>
  <si>
    <t>OLIVARES PAEZ CYNTHIA JUDITH</t>
  </si>
  <si>
    <t>16086558-K</t>
  </si>
  <si>
    <t>ALVARADO ÑANCO VIVIANA DEL ROSARIO</t>
  </si>
  <si>
    <t>16087071-0</t>
  </si>
  <si>
    <t>PEREZ MUÑOZ LESLIE JACQUELINE</t>
  </si>
  <si>
    <t>16087356-6</t>
  </si>
  <si>
    <t>PALACIOS VIDAL MACARENA EDUVIGIS</t>
  </si>
  <si>
    <t>16088051-1</t>
  </si>
  <si>
    <t>Mariana del Carmen Martinez</t>
  </si>
  <si>
    <t>BUSTOS BUSTOS NICOLE MAGDALENA</t>
  </si>
  <si>
    <t>16135747-2</t>
  </si>
  <si>
    <t>VILLALOBOS CAICOMPAI CAROLINA DEL CARMEN</t>
  </si>
  <si>
    <t>16148490-3</t>
  </si>
  <si>
    <t>CIFUENTES CUBILLOS MARITZA ANDREA</t>
  </si>
  <si>
    <t>16198794-8</t>
  </si>
  <si>
    <t>CATRICURA BERTRAND GLORIA ANDREA</t>
  </si>
  <si>
    <t>16222233-3</t>
  </si>
  <si>
    <t>MESINA VALENZUELA JAZMIN VALESKA</t>
  </si>
  <si>
    <t>Cecilia Angelica Rivas Rosenfeld</t>
  </si>
  <si>
    <t>16241422-4</t>
  </si>
  <si>
    <t>IBARRA PIZARRO PAMELA CRISTINA</t>
  </si>
  <si>
    <t>16243372-5</t>
  </si>
  <si>
    <t>POVEA HUERTA KARINNA ANDREA</t>
  </si>
  <si>
    <t>16261583-1</t>
  </si>
  <si>
    <t>ARIAS SILVA CARLOS ALBERTO</t>
  </si>
  <si>
    <t>Paola Angelica Romo Romero</t>
  </si>
  <si>
    <t>16265235-4</t>
  </si>
  <si>
    <t>VERDUGO ÁLVAREZ KAREN HISIS</t>
  </si>
  <si>
    <t>16266448-4</t>
  </si>
  <si>
    <t>FIGUEROA SOTO NATHALY RAIZA</t>
  </si>
  <si>
    <t>16266732-7</t>
  </si>
  <si>
    <t>CIFUENTES ALLENDES SUSAN MACARENA</t>
  </si>
  <si>
    <t>16267884-1</t>
  </si>
  <si>
    <t>Leticia Margarita Benitez Parra</t>
  </si>
  <si>
    <t>CASTRO QUINTANA XIMENA ALEXANDRA</t>
  </si>
  <si>
    <t>16279024-2</t>
  </si>
  <si>
    <t>SANHUEZA SAEZ GISELLE REINA</t>
  </si>
  <si>
    <t>16296307-4</t>
  </si>
  <si>
    <t>ROJAS GOMEZ NATHALY DEL ROSARIO</t>
  </si>
  <si>
    <t>16375852-0</t>
  </si>
  <si>
    <t>CARCAMO RAGNINQUEO VANESSA CAROLINA</t>
  </si>
  <si>
    <t>16378502-1</t>
  </si>
  <si>
    <t>VILLAGRÁN ZAPATA MAYLI IBETH</t>
  </si>
  <si>
    <t>16394076-0</t>
  </si>
  <si>
    <t>Carolina Ana Araya Ramírez</t>
  </si>
  <si>
    <t>LIZAMA GONZALEZ TAMARA ANGELICA</t>
  </si>
  <si>
    <t>16406133-7</t>
  </si>
  <si>
    <t>RIQUELME MALDONADO JOCELYN STEPHANIE</t>
  </si>
  <si>
    <t>16413405-9</t>
  </si>
  <si>
    <t>MUÑOZ TORRES BARBARA JEANNETTE</t>
  </si>
  <si>
    <t>16413993-K</t>
  </si>
  <si>
    <t>MENDOZA MELIVILU DANIELA ANDREA</t>
  </si>
  <si>
    <t>16451920-1</t>
  </si>
  <si>
    <t>MORALES GUAJARDO NANCY LESSLYER</t>
  </si>
  <si>
    <t xml:space="preserve">Savka Victoria Shober Carcamo </t>
  </si>
  <si>
    <t>GOMEZ ZAMORANO SOFIA FABIOLA</t>
  </si>
  <si>
    <t>19585608-7</t>
  </si>
  <si>
    <t>16540694-K</t>
  </si>
  <si>
    <t>Arredondo Carrasco Giselle</t>
  </si>
  <si>
    <t>16543721-7</t>
  </si>
  <si>
    <t>Carolyn Charlotte Matus Matus</t>
  </si>
  <si>
    <t>MORALES BOBADILLA JONATHAN MAURICIO</t>
  </si>
  <si>
    <t>CONTRATO GASFITER</t>
  </si>
  <si>
    <t>16560902-6</t>
  </si>
  <si>
    <t>ARAYA SARAVIA SANDY CAROLINA</t>
  </si>
  <si>
    <t>16617185-7</t>
  </si>
  <si>
    <t>San Martin Gallegos Cinthya Fernanda</t>
  </si>
  <si>
    <t>16617656-5</t>
  </si>
  <si>
    <t>TORRES LOBOS MABEL ANGELICA</t>
  </si>
  <si>
    <t>16626442-1</t>
  </si>
  <si>
    <t>Bustamante Riquelme Javier Alejandro</t>
  </si>
  <si>
    <t>16628448-1</t>
  </si>
  <si>
    <t>ACEITUNO SOTO DANIELA ALEJANDRA</t>
  </si>
  <si>
    <t>16656713-0</t>
  </si>
  <si>
    <t>Aguilar Farias Romina Andrea</t>
  </si>
  <si>
    <t>Leslie Jacqueline Perez Muñoz</t>
  </si>
  <si>
    <t>16679950-3</t>
  </si>
  <si>
    <t>MOYA LOBOS MARIA JOSE</t>
  </si>
  <si>
    <t>16680365-9</t>
  </si>
  <si>
    <t>CUBILLOS VALDES ALEXANDRA YASMIN</t>
  </si>
  <si>
    <t>16681708-0</t>
  </si>
  <si>
    <t>ESPINA RAMIREZ JULIA TAMARA</t>
  </si>
  <si>
    <t>16691459-0</t>
  </si>
  <si>
    <t>GALLARDO ARANGUIZ CYNTHIA ANDREA</t>
  </si>
  <si>
    <t>VEJAR PINO PAMELA ALEJANDRA</t>
  </si>
  <si>
    <t>Estrella del Carmen Martinez Valenzuela</t>
  </si>
  <si>
    <t>16696138-6</t>
  </si>
  <si>
    <t>LABRIN TOLEDO LISSETTE ANDREA</t>
  </si>
  <si>
    <t>16697780-0</t>
  </si>
  <si>
    <t>TOBAR BEIZA YASNA ROMINA</t>
  </si>
  <si>
    <t>16699970-7</t>
  </si>
  <si>
    <t>TORO TORO MARIA MERCEDES</t>
  </si>
  <si>
    <t>16714367-9</t>
  </si>
  <si>
    <t>Edith del Carmen Ronda Sandoval</t>
  </si>
  <si>
    <t>KIRMAYER ÑANCO ELIZABETH DEL CARMEN</t>
  </si>
  <si>
    <t>16719329-3</t>
  </si>
  <si>
    <t>HERNÁNDEZ MONTENEGRO DAYANNE CAROLL</t>
  </si>
  <si>
    <t>16725583-3</t>
  </si>
  <si>
    <t>LE ROY OPAZO MARIA PAZ</t>
  </si>
  <si>
    <t>16743112-7</t>
  </si>
  <si>
    <t>GONZÁLEZ SANCHEZ LEIYA ANKARA</t>
  </si>
  <si>
    <t>Jessica Marcela Araya López</t>
  </si>
  <si>
    <t>16785744-2</t>
  </si>
  <si>
    <t>GODOY VILLASECA BARBARA ANDREA</t>
  </si>
  <si>
    <t>16786012-5</t>
  </si>
  <si>
    <t>Hernández Estay Cecilia Andrea</t>
  </si>
  <si>
    <t>16787098-8</t>
  </si>
  <si>
    <t>COFRE ALCAMAN CLAUDIA BEATRIZ</t>
  </si>
  <si>
    <t>GALLARDO ROJAS ESTEFANIA MAGALY</t>
  </si>
  <si>
    <t>16790269-3</t>
  </si>
  <si>
    <t>LUARTE NECULÑIR MARIA JESUS</t>
  </si>
  <si>
    <t>Rosa del Carmen  Murillo Bustos</t>
  </si>
  <si>
    <t>8831563-4</t>
  </si>
  <si>
    <t>16790446-7</t>
  </si>
  <si>
    <t>HUENCHUÑIR ALBORNOZ ANGELINA DE LOURDES</t>
  </si>
  <si>
    <t>16856083-4</t>
  </si>
  <si>
    <t>Fuentes Catalan Jaimissy Jessjael Marcela</t>
  </si>
  <si>
    <t>16878112-1</t>
  </si>
  <si>
    <t>GUTIERREZ VARAS ELENA KATHERINE</t>
  </si>
  <si>
    <t>16904933-5</t>
  </si>
  <si>
    <t>ZAPATA LABRA DORIS VIRGINIA</t>
  </si>
  <si>
    <t>SOTO ELGUETA EVELYN MARGARITA</t>
  </si>
  <si>
    <t>16926500-3</t>
  </si>
  <si>
    <t>Veronica Alejandra Perez Molina</t>
  </si>
  <si>
    <t>PEREZ GARCIA ANA ANDREA</t>
  </si>
  <si>
    <t>16932390-9</t>
  </si>
  <si>
    <t>LEIVA MARTINEZ ROMINA STEFANIA</t>
  </si>
  <si>
    <t>CARMONA GONZALEZ KATHERINE BEATRIZ</t>
  </si>
  <si>
    <t>Carolina Yasmin Lagos Arámbulo</t>
  </si>
  <si>
    <t>16951250-7</t>
  </si>
  <si>
    <t>ESCOBAR CARRASCO KARINA ALEJANDRA</t>
  </si>
  <si>
    <t>Contrato Gerente de Operac</t>
  </si>
  <si>
    <t>16956101-K</t>
  </si>
  <si>
    <t>LACOSTE ARAYA VALERIA FRANCISCA</t>
  </si>
  <si>
    <t>16969643-8</t>
  </si>
  <si>
    <t>CACERES ROA PABLO JAVIER</t>
  </si>
  <si>
    <t>Gisela Aida Pinto Astudillo</t>
  </si>
  <si>
    <t>17005312-5</t>
  </si>
  <si>
    <t>FUENTE MERA NICOLE DENISSE DE LA</t>
  </si>
  <si>
    <t>17005990-5</t>
  </si>
  <si>
    <t>ESPINOZA CATALAN TAMARA ANDREA</t>
  </si>
  <si>
    <t>17008775-5</t>
  </si>
  <si>
    <t>OLIVARES GACITUA STEPHANIE SOLANGE</t>
  </si>
  <si>
    <t>Camila Fernanda Avila Espinoza</t>
  </si>
  <si>
    <t>17010683-0</t>
  </si>
  <si>
    <t>19183981-1</t>
  </si>
  <si>
    <t>GUTIÉRREZ MORENO DENISSE ANDREA</t>
  </si>
  <si>
    <t>17052087-4</t>
  </si>
  <si>
    <t>FLORES PEREZ DENISSE MAGDALENA</t>
  </si>
  <si>
    <t>17074658-9</t>
  </si>
  <si>
    <t>BERRIOS JERALDO NAYARETH PAOLA</t>
  </si>
  <si>
    <t>17082651-5</t>
  </si>
  <si>
    <t>Elsa Maria Suarez Astudillo</t>
  </si>
  <si>
    <t>Montenegro Gajardo Valentina Pía</t>
  </si>
  <si>
    <t>17109259-0</t>
  </si>
  <si>
    <t>Alvarez Sanchez Alejandro Andres</t>
  </si>
  <si>
    <t>17148629-7</t>
  </si>
  <si>
    <t>LEON NAVARRO CARLA LOURDES</t>
  </si>
  <si>
    <t>17149966-6</t>
  </si>
  <si>
    <t>BAHAMONDES MULATO ESTRELLA DEL CARMEN</t>
  </si>
  <si>
    <t xml:space="preserve">María Cristina Farfan  Arriagada </t>
  </si>
  <si>
    <t>19284476-2</t>
  </si>
  <si>
    <t>17150158-K</t>
  </si>
  <si>
    <t>VIEYTES VILLARROEL JENNIFFER DENISSE</t>
  </si>
  <si>
    <t>17151198-4</t>
  </si>
  <si>
    <t>BENAVIDES SOTO VALERIA ROCIO</t>
  </si>
  <si>
    <t>17168304-1</t>
  </si>
  <si>
    <t>GONZALEZ GONZALEZ MARCELA ANDREA</t>
  </si>
  <si>
    <t>17181704-8</t>
  </si>
  <si>
    <t>Contreras Serrano Jeremi Isaac</t>
  </si>
  <si>
    <t>17219650-0</t>
  </si>
  <si>
    <t>Quijada González Felipe Edgardo</t>
  </si>
  <si>
    <t>17228918-5</t>
  </si>
  <si>
    <t>MUÑOZ CORREA VANESSA ANDREA</t>
  </si>
  <si>
    <t>17229282-8</t>
  </si>
  <si>
    <t>Ximena Alejandra Fuentes Paiva</t>
  </si>
  <si>
    <t>GÓMEZ VICUÑA NATALIA YESSENIA</t>
  </si>
  <si>
    <t>17231123-7</t>
  </si>
  <si>
    <t>MUÑOZ ESPINOZA MIGUEL ANGEL</t>
  </si>
  <si>
    <t>17250454-K</t>
  </si>
  <si>
    <t>GONZALEZ SALAS BARBARA FABIOLA</t>
  </si>
  <si>
    <t>17264304-3</t>
  </si>
  <si>
    <t>Paillán Gonzalez Raquel Ivonne</t>
  </si>
  <si>
    <t>Contrato Jefe de RRHH</t>
  </si>
  <si>
    <t>17271464-1</t>
  </si>
  <si>
    <t>ESPINOSA BAEZA CLAUDIO TOMAS</t>
  </si>
  <si>
    <t>17277873-9</t>
  </si>
  <si>
    <t>CUEVAS LARA NICOLE VALESKA</t>
  </si>
  <si>
    <t>17308398-K</t>
  </si>
  <si>
    <t>ESCOBAR VIDAL LORENA DEL CARMEN</t>
  </si>
  <si>
    <t>Cecilia Andrea Urbina Miranda</t>
  </si>
  <si>
    <t>17382171-9</t>
  </si>
  <si>
    <t>VIELMA MORALES CECILIA DEL CARMEN</t>
  </si>
  <si>
    <t>17391426-1</t>
  </si>
  <si>
    <t>SALAS NORAMBUENA LISSETTE ANDREA</t>
  </si>
  <si>
    <t>17398062-0</t>
  </si>
  <si>
    <t>RUZ SANTIBAÑEZ ALEJANDRO ALBERTO</t>
  </si>
  <si>
    <t>Contrato Jefe de Bodega</t>
  </si>
  <si>
    <t>17404442-2</t>
  </si>
  <si>
    <t>MONTENEGRO GAJARDO PABLO NICOLAS ENRIQUE</t>
  </si>
  <si>
    <t>17410373-9</t>
  </si>
  <si>
    <t>AGUILERA INOQUEL ISABEL ENRIQUETA</t>
  </si>
  <si>
    <t>TOLEDO JAQUE MARIANA DANELA</t>
  </si>
  <si>
    <t>Ana Belen Neira Salazar</t>
  </si>
  <si>
    <t>17426461-9</t>
  </si>
  <si>
    <t>Jara Soto Joselyn Andrea</t>
  </si>
  <si>
    <t>Contrato Chef de Producción</t>
  </si>
  <si>
    <t>17564336-2</t>
  </si>
  <si>
    <t>MARTINEZ GONZALEZ ROSEMARIE</t>
  </si>
  <si>
    <t>17565575-1</t>
  </si>
  <si>
    <t>RAMIREZ DONOSO KAREN YESSENIA</t>
  </si>
  <si>
    <t>17580450-1</t>
  </si>
  <si>
    <t>SALAS MUÑOZ AIRAM LINDSAY</t>
  </si>
  <si>
    <t>17616600-2</t>
  </si>
  <si>
    <t>Novoa Duran Francesca Loreto</t>
  </si>
  <si>
    <t>17628045-K</t>
  </si>
  <si>
    <t>CASTRO HERNANDEZ PRISCILLA ANDREA</t>
  </si>
  <si>
    <t>Katherine del Rosario Mendoza Mendoza</t>
  </si>
  <si>
    <t>17706298-7</t>
  </si>
  <si>
    <t>Casanova Arteaga Johana</t>
  </si>
  <si>
    <t>17728585-4</t>
  </si>
  <si>
    <t>RIVAS BENITEZ FELIPE IGNACIO</t>
  </si>
  <si>
    <t>ANALISTA DE CONTROL GESTION</t>
  </si>
  <si>
    <t>17737628-0</t>
  </si>
  <si>
    <t>Muñoz Esparza Abigail Genesis</t>
  </si>
  <si>
    <t>17737802-K</t>
  </si>
  <si>
    <t>REINOSO CISTERNA PAMELA ROSA</t>
  </si>
  <si>
    <t>17766721-8</t>
  </si>
  <si>
    <t>TAPIA GARCIA BARBARA STEPHANIE</t>
  </si>
  <si>
    <t>17768596-8</t>
  </si>
  <si>
    <t>MUÑOZ VALENZUELA MARIANA DEL CARMEN</t>
  </si>
  <si>
    <t>Soledad Marcia Bustos Garrido</t>
  </si>
  <si>
    <t>7311408-K</t>
  </si>
  <si>
    <t>17771494-1</t>
  </si>
  <si>
    <t>MESIAS TORRES ARIEL RODRIGO</t>
  </si>
  <si>
    <t>17815046-4</t>
  </si>
  <si>
    <t>CAMPOS RIQUELME DANIELA</t>
  </si>
  <si>
    <t>17834280-0</t>
  </si>
  <si>
    <t>Oliveros Rivas Jymy Esteban</t>
  </si>
  <si>
    <t>Contrato Ayudante de Bodega</t>
  </si>
  <si>
    <t>17875732-6</t>
  </si>
  <si>
    <t>HERRERA BRAVO NICOLE CAROLINA</t>
  </si>
  <si>
    <t>17897416-5</t>
  </si>
  <si>
    <t>PARRA PEREIRA ALICIA CAROLAINE</t>
  </si>
  <si>
    <t>17905633-K</t>
  </si>
  <si>
    <t>ANDRADE PAREDES KATHERIN ANDREA</t>
  </si>
  <si>
    <t>Erika Paz Riquelme Avendaño</t>
  </si>
  <si>
    <t>17905692-5</t>
  </si>
  <si>
    <t>RAMIREZ HUENCHUQUEO JUANA ANGELICA</t>
  </si>
  <si>
    <t>17908719-7</t>
  </si>
  <si>
    <t>9612209-8</t>
  </si>
  <si>
    <t>VASQUEZ SOLIS BELEN BEATRIZ</t>
  </si>
  <si>
    <t>17909580-7</t>
  </si>
  <si>
    <t>REINAGA OLGUIN BRYAN ANTOLIN</t>
  </si>
  <si>
    <t>17919691-3</t>
  </si>
  <si>
    <t>Barraza Ruz Ivonne Alejandra</t>
  </si>
  <si>
    <t>Contrato Asistente de Procesos</t>
  </si>
  <si>
    <t>17925597-9</t>
  </si>
  <si>
    <t>AVALOS RIQUELME NATHALI VALESKA</t>
  </si>
  <si>
    <t>17961176-7</t>
  </si>
  <si>
    <t>Zaninovic Verdugo Ivanna</t>
  </si>
  <si>
    <t>18036169-3</t>
  </si>
  <si>
    <t>Madariaga Castro Catalina Alejandra</t>
  </si>
  <si>
    <t>CONTRATO 3</t>
  </si>
  <si>
    <t>18048540-6</t>
  </si>
  <si>
    <t>PAVEZ CACERES DAYANA ALEJANDRA</t>
  </si>
  <si>
    <t>18050494-K</t>
  </si>
  <si>
    <t>DIAZ CEPEDA JACOB ISAAC</t>
  </si>
  <si>
    <t>Nicole del Carmen Farías Gutierrez</t>
  </si>
  <si>
    <t>Contrato Supervisor de Bodega</t>
  </si>
  <si>
    <t>18325955-5</t>
  </si>
  <si>
    <t>18078629-5</t>
  </si>
  <si>
    <t>SILVA COLOMBO JOCELYN CONSTANZA</t>
  </si>
  <si>
    <t>18098004-0</t>
  </si>
  <si>
    <t>MARILEO HUENTECURA ERIKA JAZMIN</t>
  </si>
  <si>
    <t>POBLETE NUÑEZ GLADYS VANUSSA</t>
  </si>
  <si>
    <t>18189207-2</t>
  </si>
  <si>
    <t>Sandra de las Mercedes Celis Mejías</t>
  </si>
  <si>
    <t>CASTRO QUINTANA ANA MARÍA</t>
  </si>
  <si>
    <t>18222341-7</t>
  </si>
  <si>
    <t>ARAVENA MUÑOZ YOLANDA PAZ</t>
  </si>
  <si>
    <t>Contrato Técnico Gastronómico</t>
  </si>
  <si>
    <t>18223678-0</t>
  </si>
  <si>
    <t>CARRASCO FLORES TATIANA SOLANGE</t>
  </si>
  <si>
    <t>18230144-2</t>
  </si>
  <si>
    <t>VILLEGAS MONSALVEZ MARCELA JOCELYN</t>
  </si>
  <si>
    <t>18250927-2</t>
  </si>
  <si>
    <t>García Paté Nataly Estrella</t>
  </si>
  <si>
    <t>18276284-9</t>
  </si>
  <si>
    <t>VASQUEZ BUSTAMANTE ROSA SALOME</t>
  </si>
  <si>
    <t>Scarlett  Estefania Díaz Valenzuela</t>
  </si>
  <si>
    <t>19162043-7</t>
  </si>
  <si>
    <t>CRISTI PRADEL TAMARA ANDREA</t>
  </si>
  <si>
    <t>18325620-3</t>
  </si>
  <si>
    <t>FIGUEROA FERRADA CAROLINA ANDREA</t>
  </si>
  <si>
    <t>FARIAS GUTIERREZ NICOLE DEL CARMEN</t>
  </si>
  <si>
    <t>18327333-7</t>
  </si>
  <si>
    <t>ESCOBAR CARO ESTRELLA SOLEDAD</t>
  </si>
  <si>
    <t>ARRIAGADA COA BETZABET YOLANDA</t>
  </si>
  <si>
    <t>HERMOSILLA AYALA LUCERO NICOLE</t>
  </si>
  <si>
    <t>Ninoska Caroline Arias Fuentes</t>
  </si>
  <si>
    <t>GALLARDO MERY NICOLE ALEXANDRA</t>
  </si>
  <si>
    <t>19164643-6</t>
  </si>
  <si>
    <t>18364574-9</t>
  </si>
  <si>
    <t>SAN MARTÍN CÁCERES ALEJANDRA DEL PILAR</t>
  </si>
  <si>
    <t>18423692-3</t>
  </si>
  <si>
    <t>Cerda Carter Natalia Alejandra</t>
  </si>
  <si>
    <t>18425869-2</t>
  </si>
  <si>
    <t>SANCHEZ AGUILERA SASHA GRACIELA</t>
  </si>
  <si>
    <t>18531493-6</t>
  </si>
  <si>
    <t>TOBAR ARANCIBIA BELEN MACIEL</t>
  </si>
  <si>
    <t>18560448-9</t>
  </si>
  <si>
    <t>ESPINOZA RODRIGUEZ MIRTHA ALEJANDRA</t>
  </si>
  <si>
    <t xml:space="preserve">Nancy Veronica Salinas  Becerra </t>
  </si>
  <si>
    <t>6440365-6</t>
  </si>
  <si>
    <t>18593142-0</t>
  </si>
  <si>
    <t>Alfonso Vizcarra Sergio Andres</t>
  </si>
  <si>
    <t>Contrato Monitor Técnico</t>
  </si>
  <si>
    <t>18594622-3</t>
  </si>
  <si>
    <t>BAEZA ROJAS NICOLE ELIZABETH</t>
  </si>
  <si>
    <t>18603152-0</t>
  </si>
  <si>
    <t>ÑANCUFIL FERNANDEZ LISETTE DEL CARMEN</t>
  </si>
  <si>
    <t>18609231-7</t>
  </si>
  <si>
    <t>BILBAO ORTIZ ALEJANDRA DEL CARMEN</t>
  </si>
  <si>
    <t>18610439-0</t>
  </si>
  <si>
    <t>VALENZUELA RIQUELME MILLARAY ELOISA</t>
  </si>
  <si>
    <t>18614658-1</t>
  </si>
  <si>
    <t>ALVARADO ÑANCO GERALDINE DE LOURDES</t>
  </si>
  <si>
    <t xml:space="preserve">Julia del Carmen  Valdivia Valdivia </t>
  </si>
  <si>
    <t>18675226-0</t>
  </si>
  <si>
    <t>CAMPOS ESCALONA DANIEL ERNESTO</t>
  </si>
  <si>
    <t>18675386-0</t>
  </si>
  <si>
    <t>DIAZ RIQUELME LINDCY SIDNEY</t>
  </si>
  <si>
    <t>18676668-7</t>
  </si>
  <si>
    <t>VALDES CORTES TAMARA ELIZABETH</t>
  </si>
  <si>
    <t>18698465-K</t>
  </si>
  <si>
    <t>RUZ BAEZ PAOLA DEL PILAR</t>
  </si>
  <si>
    <t>18698999-6</t>
  </si>
  <si>
    <t>MONSALVEZ QUINTEROS DANIELA DENNISE</t>
  </si>
  <si>
    <t>Maria Zulema Guichaman Guichaman</t>
  </si>
  <si>
    <t>9425829-4</t>
  </si>
  <si>
    <t>18809933-5</t>
  </si>
  <si>
    <t>VEGA CASTILLO NATALY ORIET</t>
  </si>
  <si>
    <t>18849190-1</t>
  </si>
  <si>
    <t>ARRIETA GARCIA BARBARA MICHELLE</t>
  </si>
  <si>
    <t>Contrato Manipuladora 2</t>
  </si>
  <si>
    <t>MUÑOZ RAMIREZ CAMILA JAVIERA</t>
  </si>
  <si>
    <t>18850439-6</t>
  </si>
  <si>
    <t>Erika Angelina Soto Opazo</t>
  </si>
  <si>
    <t>NOVOA URRA YARITZA ANDREA</t>
  </si>
  <si>
    <t>18858868-9</t>
  </si>
  <si>
    <t>Alarcon Mancilla Dina Nair</t>
  </si>
  <si>
    <t>18880730-5</t>
  </si>
  <si>
    <t>MUÑOZ SEGURA ELIZABETH MARGARITA</t>
  </si>
  <si>
    <t>18882583-4</t>
  </si>
  <si>
    <t>Cabezas Parada Lesly Caroline</t>
  </si>
  <si>
    <t>18928457-8</t>
  </si>
  <si>
    <t>SEPULVEDA MORALES CONSTANZA CAROLINA</t>
  </si>
  <si>
    <t>18929093-4</t>
  </si>
  <si>
    <t>REBOLLEDO MOLINA MARIA JOSE</t>
  </si>
  <si>
    <t>Elizabeth Ximena Novoa Almendra</t>
  </si>
  <si>
    <t>18977850-3</t>
  </si>
  <si>
    <t>SANZANA CARRASCO CONSTANZA JAVIERA</t>
  </si>
  <si>
    <t>19027148-K</t>
  </si>
  <si>
    <t>ARISMENDI LEÓN BARBARA PATRICIA</t>
  </si>
  <si>
    <t>19078719-2</t>
  </si>
  <si>
    <t>ROSALES ARAYA IGNACIA PAZ</t>
  </si>
  <si>
    <t>Contrato Analista de Procesos</t>
  </si>
  <si>
    <t xml:space="preserve">Teresa Emilia Gomez Salas </t>
  </si>
  <si>
    <t>19095775-6</t>
  </si>
  <si>
    <t>CHAVEZ CHAVEZ CAMILA MAKARENA</t>
  </si>
  <si>
    <t>19112308-5</t>
  </si>
  <si>
    <t>ARIAS HENRIQUEZ ALEJANDRO ESTEBAN</t>
  </si>
  <si>
    <t>7062859-7</t>
  </si>
  <si>
    <t>19129519-6</t>
  </si>
  <si>
    <t>Serey Veas Carlos Antonio</t>
  </si>
  <si>
    <t>DIAZ VALENZUELA SCARLETT ESTEFANIA</t>
  </si>
  <si>
    <t>ARIAS FUENTES NINOSKA CAROLINE</t>
  </si>
  <si>
    <t>AVILA ESPINOZA CAMILA FERNANDA</t>
  </si>
  <si>
    <t>19190542-3</t>
  </si>
  <si>
    <t>ACEVEDO PLAZA RUBI ESTEFFANIA</t>
  </si>
  <si>
    <t>19219680-9</t>
  </si>
  <si>
    <t>GUERRERO ZAMORA FRANCISCA FERNANDA</t>
  </si>
  <si>
    <t>19223104-3</t>
  </si>
  <si>
    <t>GONZALEZ BASCUR ANA GABRIELA</t>
  </si>
  <si>
    <t>19237173-2</t>
  </si>
  <si>
    <t>RETAMAL RIOS CARLA ANDREA</t>
  </si>
  <si>
    <t>19238006-5</t>
  </si>
  <si>
    <t>CABELLO RAINAO ABIGAIL DEL PILAR</t>
  </si>
  <si>
    <t>Contrato Maquinista</t>
  </si>
  <si>
    <t>19259294-1</t>
  </si>
  <si>
    <t>GONZALEZ MORA YARIRA GRACIELA</t>
  </si>
  <si>
    <t>FARFAN ARRIAGADA MARIA CRISTINA</t>
  </si>
  <si>
    <t>19315546-4</t>
  </si>
  <si>
    <t xml:space="preserve">Katherine Elizabeth Troncoso Ducos </t>
  </si>
  <si>
    <t>Santos Gutiérrez Jael Elisabet</t>
  </si>
  <si>
    <t>19342630-1</t>
  </si>
  <si>
    <t>PRIETO CARO MIUSTAN GUISELA</t>
  </si>
  <si>
    <t>19378298-1</t>
  </si>
  <si>
    <t>FERNANDEZ CALQUIN CRISTOFFER JESUS</t>
  </si>
  <si>
    <t>Contrato Coord de Calidad</t>
  </si>
  <si>
    <t>19386498-8</t>
  </si>
  <si>
    <t>Rozas Abraham Javiera Antonia</t>
  </si>
  <si>
    <t>19408089-1</t>
  </si>
  <si>
    <t>MESIAS TORRES VICTORIA PAZ DE LA LUZ</t>
  </si>
  <si>
    <t>19409468-K</t>
  </si>
  <si>
    <t>VALDEBENITO GAONA RODRIGO IGNACIO</t>
  </si>
  <si>
    <t>19413122-4</t>
  </si>
  <si>
    <t>PAKARATI HALCROW KELLY VAIANA</t>
  </si>
  <si>
    <t>19413189-5</t>
  </si>
  <si>
    <t>Larrain Epuleo Jose Ignacio</t>
  </si>
  <si>
    <t>19442042-0</t>
  </si>
  <si>
    <t>MIGUELES CASTILLO CAMILA ANDREA</t>
  </si>
  <si>
    <t>Líder de Calidad PAE</t>
  </si>
  <si>
    <t>19570594-1</t>
  </si>
  <si>
    <t>Montoya Hernández Carolaine Francisca</t>
  </si>
  <si>
    <t xml:space="preserve">Claudia Andrea Pinto Moncada </t>
  </si>
  <si>
    <t>SCHOBER CARCAMO SAVKA VICTORIA</t>
  </si>
  <si>
    <t>ALMARZA GONZALEZ GENESIS GRISELDA BELEN</t>
  </si>
  <si>
    <t>19586722-4</t>
  </si>
  <si>
    <t>FLORES MUÑOZ MARIA JOSE</t>
  </si>
  <si>
    <t>19587513-8</t>
  </si>
  <si>
    <t>ROMAN CUBILLOS CATALINA ANGELICA</t>
  </si>
  <si>
    <t>MELILLAN GARRIDO FERNANDA TABITA</t>
  </si>
  <si>
    <t>19705166-3</t>
  </si>
  <si>
    <t>URBINA MANCILLA DANAE DOMINIQUE</t>
  </si>
  <si>
    <t>19708269-0</t>
  </si>
  <si>
    <t>Pino Aguilera Lincy Dayana</t>
  </si>
  <si>
    <t>19740945-2</t>
  </si>
  <si>
    <t xml:space="preserve">Claudia  Andrea Retamales Alburquenque </t>
  </si>
  <si>
    <t>GARCIA JARA FRANCISCA JAVIERA</t>
  </si>
  <si>
    <t>19753954-2</t>
  </si>
  <si>
    <t>ZUÑIGA SAEZ ANILOSKA DE LOURDES</t>
  </si>
  <si>
    <t>19755333-2</t>
  </si>
  <si>
    <t>VARGAS IGOR ISRAEL IGNACIO</t>
  </si>
  <si>
    <t>19781938-3</t>
  </si>
  <si>
    <t>ROJAS VILCHE CAMILA JAVIERA</t>
  </si>
  <si>
    <t>Contrato Monitor de Calidad</t>
  </si>
  <si>
    <t>19800371-9</t>
  </si>
  <si>
    <t>Tepano Leyton Brenda Hiti Uira del Carmen</t>
  </si>
  <si>
    <t>19800383-2</t>
  </si>
  <si>
    <t>Aburto Pakarati Francisco Santiago Atariki</t>
  </si>
  <si>
    <t>Contrato Admin</t>
  </si>
  <si>
    <t>19802702-2</t>
  </si>
  <si>
    <t>GONZALEZ LEON TAMARA NICOLE</t>
  </si>
  <si>
    <t xml:space="preserve">Ivonne Andrea Hernandez Araya </t>
  </si>
  <si>
    <t>Contrato Auxiliar Part Time 30</t>
  </si>
  <si>
    <t>19818538-8</t>
  </si>
  <si>
    <t>PEREZ BARRERA MELISA ANDREA</t>
  </si>
  <si>
    <t>19879963-7</t>
  </si>
  <si>
    <t>TAPIA ZÚÑIGA CATALINA ALEXANDRA</t>
  </si>
  <si>
    <t>19882682-0</t>
  </si>
  <si>
    <t>LEIVA DIAZ NICOLE MAGDALENA</t>
  </si>
  <si>
    <t>19883365-7</t>
  </si>
  <si>
    <t>DEL VALLE CABEZAS PAOLA ALEJANDRA</t>
  </si>
  <si>
    <t>19924896-0</t>
  </si>
  <si>
    <t>PINCHEIRA MUÑOZ NICOLÁS ANDRÉS</t>
  </si>
  <si>
    <t>19927356-6</t>
  </si>
  <si>
    <t xml:space="preserve">Vanessa Carolina  Carcamo Ragninqueo </t>
  </si>
  <si>
    <t>Serrat Delaveau Antonia Paz</t>
  </si>
  <si>
    <t>19929440-7</t>
  </si>
  <si>
    <t>GUAJARDO AVILA ROSE DAYANA</t>
  </si>
  <si>
    <t>OPERADOR DE GRUA</t>
  </si>
  <si>
    <t>19996821-1</t>
  </si>
  <si>
    <t>AVILA JARA ANTIL EMIL</t>
  </si>
  <si>
    <t>20008132-3</t>
  </si>
  <si>
    <t>Gajardo Caceres Luis Franco</t>
  </si>
  <si>
    <t>20033360-8</t>
  </si>
  <si>
    <t>CARTES SANTIBAÑEZ KAREN GIANNINA</t>
  </si>
  <si>
    <t>20052627-9</t>
  </si>
  <si>
    <t>BECERRA LEVIPIL MARIOLI FERNANDA</t>
  </si>
  <si>
    <t>20056054-K</t>
  </si>
  <si>
    <t xml:space="preserve">Aurora del Alba Mendoza Vergara </t>
  </si>
  <si>
    <t>SALGADO GARCIA EMMANUEL PABLO</t>
  </si>
  <si>
    <t>Contrato Encargado de Despacho</t>
  </si>
  <si>
    <t>VASQUEZ GOMEZ CAROLINA ALEXANDRA</t>
  </si>
  <si>
    <t>20143170-0</t>
  </si>
  <si>
    <t>VIDAL FUENTES PAULINA ALEJANDRA</t>
  </si>
  <si>
    <t>20188266-4</t>
  </si>
  <si>
    <t>PASMIÑO VEJAR CAMILA ISABEL</t>
  </si>
  <si>
    <t>20188445-4</t>
  </si>
  <si>
    <t>PASTRANA SEPULVEDA GENESIS SCARLET</t>
  </si>
  <si>
    <t>20329178-7</t>
  </si>
  <si>
    <t>ZAMORANO GONZALEZ DANIELA FERNANDA ANDREA</t>
  </si>
  <si>
    <t>20449438-K</t>
  </si>
  <si>
    <t>SAN MARTIN CACERES JAZMIN MACARENA</t>
  </si>
  <si>
    <t xml:space="preserve">Mariela Greace Morales Vargas </t>
  </si>
  <si>
    <t>20495599-9</t>
  </si>
  <si>
    <t>RIVERA VILLALON VALENTINA ANTONIA</t>
  </si>
  <si>
    <t>20635221-3</t>
  </si>
  <si>
    <t>CONTRERAS LIZANA FERNANDA ALEJANDRA</t>
  </si>
  <si>
    <t>20672427-7</t>
  </si>
  <si>
    <t>LAGOS NAVARRETE NICOLAS FELIPE</t>
  </si>
  <si>
    <t>20712744-2</t>
  </si>
  <si>
    <t>GAJARDO ORDOÑEZ ALEXANDRA TYBHISAY</t>
  </si>
  <si>
    <t>20773433-0</t>
  </si>
  <si>
    <t>CASTRO RETAMAL ESTEFANIA ANDREA</t>
  </si>
  <si>
    <t>20789819-8</t>
  </si>
  <si>
    <t>PREISLER MOLINA SCARLETTE MICHELLE ALEJANDRA</t>
  </si>
  <si>
    <t>20814412-K</t>
  </si>
  <si>
    <t xml:space="preserve">Adela del Carmen Fajardo Ramírez </t>
  </si>
  <si>
    <t>ORELLANA SARAVIA MARIEL CRISTIANNE</t>
  </si>
  <si>
    <t>20960883-9</t>
  </si>
  <si>
    <t>GUERRERO LEIVA NICOLAS IGNACIO</t>
  </si>
  <si>
    <t>21054994-3</t>
  </si>
  <si>
    <t>CIFUENTES ESPINOZA MASSIEL ANAIS</t>
  </si>
  <si>
    <t>21055893-4</t>
  </si>
  <si>
    <t>SAAVEDRA GONZALEZ SOFIA ANTONIA</t>
  </si>
  <si>
    <t>21169060-7</t>
  </si>
  <si>
    <t>MUÑOZ OLIVARES EMMILY MILLARAY</t>
  </si>
  <si>
    <t>21534542-4</t>
  </si>
  <si>
    <t>AREVALO VEAS MELANY EUNICE</t>
  </si>
  <si>
    <t>21698375-0</t>
  </si>
  <si>
    <t xml:space="preserve">Jessica Verónica Flores Canales </t>
  </si>
  <si>
    <t>GRANDON CODOCEO DENISSE CATALINA</t>
  </si>
  <si>
    <t>21738461-3</t>
  </si>
  <si>
    <t>LIZANA PERALTA CAMILA ANTONIA</t>
  </si>
  <si>
    <t>21817183-4</t>
  </si>
  <si>
    <t>POBLETE VERA VALENTINA PAZ</t>
  </si>
  <si>
    <t>22154105-7</t>
  </si>
  <si>
    <t>PAVEZ ULLOA ANDRY OSVALDO</t>
  </si>
  <si>
    <t>22257418-8</t>
  </si>
  <si>
    <t>Mallias Diaz Varinia</t>
  </si>
  <si>
    <t>22432133-3</t>
  </si>
  <si>
    <t>GUTIERREZ SOTO BARBARA ANDREA</t>
  </si>
  <si>
    <t xml:space="preserve">Gloria De las Mercedes Flores López </t>
  </si>
  <si>
    <t>25362906-1</t>
  </si>
  <si>
    <t>PEREZ RUIZ DIANNY ROSIAMALY</t>
  </si>
  <si>
    <t>25785887-1</t>
  </si>
  <si>
    <t>OCARIZ PRIETO OSMARY NAHIR</t>
  </si>
  <si>
    <t>Contrato Ejecutivo de Compras</t>
  </si>
  <si>
    <t>25802790-6</t>
  </si>
  <si>
    <t>PARAPAINO SOCORE PEDRO</t>
  </si>
  <si>
    <t>25912986-9</t>
  </si>
  <si>
    <t>CLOTAIRE . KETIA</t>
  </si>
  <si>
    <t>25913059-K</t>
  </si>
  <si>
    <t>VALERA BRACHO KENYER ISMAEL</t>
  </si>
  <si>
    <t>Contrato Asist Administrativo</t>
  </si>
  <si>
    <t>25938894-5</t>
  </si>
  <si>
    <t>LUQUES MEZA YENKYN JOSE</t>
  </si>
  <si>
    <t xml:space="preserve">Cecilia del Carmen Gómez Delgado </t>
  </si>
  <si>
    <t>25999641-4</t>
  </si>
  <si>
    <t>Corrales Gil Juan Pablo</t>
  </si>
  <si>
    <t>26003310-7</t>
  </si>
  <si>
    <t>BARRETO HIDALGO ELISA ERIKA</t>
  </si>
  <si>
    <t>26098435-7</t>
  </si>
  <si>
    <t>SULBARAN NAVARRO MIGUEL ANGEL</t>
  </si>
  <si>
    <t>26339163-2</t>
  </si>
  <si>
    <t>TEORE TUKI CLARITA EDNA</t>
  </si>
  <si>
    <t>26456088-8</t>
  </si>
  <si>
    <t>VEDIA CABRERA MICHAEL HAROLD</t>
  </si>
  <si>
    <t xml:space="preserve">Carolina Alejandra Díaz Herrera </t>
  </si>
  <si>
    <t>26582486-2</t>
  </si>
  <si>
    <t>Mora Guzmán Glaymar Ayarú</t>
  </si>
  <si>
    <t>Asistente de RRHH</t>
  </si>
  <si>
    <t>26635118-6</t>
  </si>
  <si>
    <t>GAMBOA ANGULO INGRID TATIANA</t>
  </si>
  <si>
    <t>26945414-8</t>
  </si>
  <si>
    <t>VARGAS MANAURE PEDRO JOSE</t>
  </si>
  <si>
    <t>27495119-2</t>
  </si>
  <si>
    <t>MANZANILLA MANZANILLA NEILA KATERINA</t>
  </si>
  <si>
    <t>28397074-4</t>
  </si>
  <si>
    <t>VEGA COLLAZOS JHOAN ALEJANDRO</t>
  </si>
  <si>
    <t xml:space="preserve">Cecilia Mirta Mulato Llao </t>
  </si>
  <si>
    <t>28417787-8</t>
  </si>
  <si>
    <t>Carmona Montes Marianela Mely</t>
  </si>
  <si>
    <t>28599208-7</t>
  </si>
  <si>
    <t>Pérez Labrador Humberto José</t>
  </si>
  <si>
    <t>29138487-0</t>
  </si>
  <si>
    <t>ANGULO VERA DORIS NOEMI</t>
  </si>
  <si>
    <t>29306486-5</t>
  </si>
  <si>
    <t>CEVALLOS HIDALGO ANDRES SEBASTIAN</t>
  </si>
  <si>
    <t>5431066-8</t>
  </si>
  <si>
    <t>SOTO GUTIERREZ ORFILIA BLANCA</t>
  </si>
  <si>
    <t>5716734-3</t>
  </si>
  <si>
    <t>GALLARDO ABARZUA LUIS ALBERTO</t>
  </si>
  <si>
    <t>Contrato Gasfiter</t>
  </si>
  <si>
    <t>6195055-9</t>
  </si>
  <si>
    <t>TRONCOSO PEREZ DE VALENZUELA CARMEN LIDIA DE FATIMA</t>
  </si>
  <si>
    <t xml:space="preserve">Carola Alejandra Godoy Navarro </t>
  </si>
  <si>
    <t>SALINAS BECERRA NANCY VERONICA</t>
  </si>
  <si>
    <t>6561635-1</t>
  </si>
  <si>
    <t>MARTINEZ SANDOVAL ROSA FLOR</t>
  </si>
  <si>
    <t>6597030-9</t>
  </si>
  <si>
    <t>LLINAS LEON HILDA MERCEDES</t>
  </si>
  <si>
    <t>6903491-8</t>
  </si>
  <si>
    <t>MEZA HERRERA OLGA DEL CARMEN</t>
  </si>
  <si>
    <t>PEREZ RIQUELME RUTH DE LAS MERCEDES</t>
  </si>
  <si>
    <t>6926702-5</t>
  </si>
  <si>
    <t>OLGUIN ESCOBAR LUCY DEL CARMEN</t>
  </si>
  <si>
    <t>GOMEZ SALAS TERESA EMILIA</t>
  </si>
  <si>
    <t>7103992-7</t>
  </si>
  <si>
    <t>Alonso Bolzoni Vicente</t>
  </si>
  <si>
    <t xml:space="preserve">Marta Francisca Alvayay Gaete </t>
  </si>
  <si>
    <t>Contrato Gte General</t>
  </si>
  <si>
    <t>9570558-8</t>
  </si>
  <si>
    <t>7105267-2</t>
  </si>
  <si>
    <t>ESCOBAR ACEVEDO HIPOLITO LAUTARO</t>
  </si>
  <si>
    <t>7107632-6</t>
  </si>
  <si>
    <t>MORALES SEPULVEDA ROSA ELVIRA</t>
  </si>
  <si>
    <t>7111797-9</t>
  </si>
  <si>
    <t>ALARCON PINILLA SUSANA DE LAS NIEVES</t>
  </si>
  <si>
    <t>7307647-1</t>
  </si>
  <si>
    <t>ROGERS ROJAS MONICA DEL CARMEN</t>
  </si>
  <si>
    <t xml:space="preserve">María Angélica  Carrasco Carrasco </t>
  </si>
  <si>
    <t>9605267-7</t>
  </si>
  <si>
    <t>BUSTOS GARRIDO SOLEDAD MARCIA</t>
  </si>
  <si>
    <t>7315102-3</t>
  </si>
  <si>
    <t>MOSCOSO BARRUETA JUANA ROSA</t>
  </si>
  <si>
    <t>7419122-3</t>
  </si>
  <si>
    <t>VALDEBENITO VALERIA LUISA DEL CARMEN</t>
  </si>
  <si>
    <t>7479846-2</t>
  </si>
  <si>
    <t>OTAROLA CASTILLO GUILLERMINA DEL CARMEN</t>
  </si>
  <si>
    <t>7519771-3</t>
  </si>
  <si>
    <t>MANDUJANO PARDO ERIKA DEL CARMEN</t>
  </si>
  <si>
    <t>7541028-K</t>
  </si>
  <si>
    <t>BASCUR SALINAS BERTA ELENA</t>
  </si>
  <si>
    <t>ASTUDILLO CARVACHO PATRICIA</t>
  </si>
  <si>
    <t>7688406-4</t>
  </si>
  <si>
    <t>AIRALDI IBACACHE MARIA ANDREA</t>
  </si>
  <si>
    <t>7698896-K</t>
  </si>
  <si>
    <t>ROJAS SEREY BELLA ESPERANZA</t>
  </si>
  <si>
    <t xml:space="preserve">Paola Alejandra Aguilar Velásquez </t>
  </si>
  <si>
    <t>PAREDES MUÑOZ MARIA ELOISA</t>
  </si>
  <si>
    <t>7833856-3</t>
  </si>
  <si>
    <t>HIDALGO VERGARA LUZ MARIANA</t>
  </si>
  <si>
    <t>HORMAZABAL CORTES BERNARDA DE LOURDES</t>
  </si>
  <si>
    <t>7895581-3</t>
  </si>
  <si>
    <t>TOLEDO DIAZ GABRIELA LEONOR</t>
  </si>
  <si>
    <t>8030534-6</t>
  </si>
  <si>
    <t>DIOCARES DIOCARES MIRTA DEL CARMEN</t>
  </si>
  <si>
    <t>8065565-7</t>
  </si>
  <si>
    <t>Aburto Bahamondes Carlos Hernan</t>
  </si>
  <si>
    <t>8114407-9</t>
  </si>
  <si>
    <t>TOLEDO DIAZ ROSA ESTER</t>
  </si>
  <si>
    <t xml:space="preserve">Cecilia del Carmen Henríquez  Barra </t>
  </si>
  <si>
    <t>8117831-3</t>
  </si>
  <si>
    <t>CELEDON VILLANUEVA NINOSKA DE LAS NIEVES</t>
  </si>
  <si>
    <t>8126932-7</t>
  </si>
  <si>
    <t>VALENZUELA CARVAJAL MÓNICA DEL CARMEN</t>
  </si>
  <si>
    <t>8127915-2</t>
  </si>
  <si>
    <t>MORALES GONZALEZ DORIS DEL CARMEN</t>
  </si>
  <si>
    <t>8251353-1</t>
  </si>
  <si>
    <t>MAYORGA HERNANDEZ PATRICIA DEL CARMEN</t>
  </si>
  <si>
    <t>8275481-4</t>
  </si>
  <si>
    <t>TERAN GONZALEZ MARITZA ELIZABETH</t>
  </si>
  <si>
    <t>8342263-7</t>
  </si>
  <si>
    <t>VALENZUELA ESPINOZA EDITH ELIDA</t>
  </si>
  <si>
    <t>8344473-8</t>
  </si>
  <si>
    <t>PINO ABARCA MARIA CRISTINA</t>
  </si>
  <si>
    <t xml:space="preserve">Romina Estefanía  Leiva Martínez </t>
  </si>
  <si>
    <t>8347558-7</t>
  </si>
  <si>
    <t>ROJAS SAEZ EMA ALEJANDRA</t>
  </si>
  <si>
    <t>8351492-2</t>
  </si>
  <si>
    <t>ROMERO ESPINOZA RUTH MARIA</t>
  </si>
  <si>
    <t>8403256-5</t>
  </si>
  <si>
    <t>VALENZUELA RIVERA ALEJANDRA DEL CARMEN</t>
  </si>
  <si>
    <t>8405523-9</t>
  </si>
  <si>
    <t>PASACHE IBARRA XIMENA DEL CARMEN</t>
  </si>
  <si>
    <t>8422467-7</t>
  </si>
  <si>
    <t>SOLIS ROMERO IRMA DEL CARMEN</t>
  </si>
  <si>
    <t>8458754-0</t>
  </si>
  <si>
    <t>ARENAS LEON MARIA ELENA</t>
  </si>
  <si>
    <t>8561433-9</t>
  </si>
  <si>
    <t>QUISQUE PONCE CELINDA DEL CARMEN</t>
  </si>
  <si>
    <t>8575743-1</t>
  </si>
  <si>
    <t>NUÑEZ PINO ANDREA</t>
  </si>
  <si>
    <t xml:space="preserve">Edhith Lorena Quezada Mario </t>
  </si>
  <si>
    <t>BERGUÑO SANTIBAÑEZ ELSA CLARA</t>
  </si>
  <si>
    <t>RIVAS CARRILLO SOLIDINA DEL CARMEN</t>
  </si>
  <si>
    <t>8821179-0</t>
  </si>
  <si>
    <t>GUTIERREZ CAMPOS MYRIAM DEL TRANSITO</t>
  </si>
  <si>
    <t>MURILLO BUSTOS ROSA DEL CARMEN</t>
  </si>
  <si>
    <t>8850723-1</t>
  </si>
  <si>
    <t>OJEDA CÁRCAMO ETELVINA DEL CARMEN</t>
  </si>
  <si>
    <t>8862401-7</t>
  </si>
  <si>
    <t>VERDUGO AVILA SUSANA GLADYS</t>
  </si>
  <si>
    <t>8867809-5</t>
  </si>
  <si>
    <t>ARANCIBIA BUSTAMANTE VALERIA LUZ</t>
  </si>
  <si>
    <t>Contrato Digitadora</t>
  </si>
  <si>
    <t>TRONCOSO LUBI ISABEL SUSANA</t>
  </si>
  <si>
    <t>8954116-6</t>
  </si>
  <si>
    <t>NEIRA PARDO VERONICA DEL PILAR</t>
  </si>
  <si>
    <t xml:space="preserve">Natalia Lorena Orellana Gutiérrez </t>
  </si>
  <si>
    <t>8958363-2</t>
  </si>
  <si>
    <t>ESCANILLA DIAZ PATRICIA DEL CARMEN</t>
  </si>
  <si>
    <t>8963990-5</t>
  </si>
  <si>
    <t>NUÑEZ DELFINO MAGNA DE LAS MERCEDES</t>
  </si>
  <si>
    <t>8969022-6</t>
  </si>
  <si>
    <t>PAILLAO NAHUELPAN MARIA ANGELICA</t>
  </si>
  <si>
    <t>8991755-7</t>
  </si>
  <si>
    <t>CABEZAS DIAZ PAULINA DEL CARMEN</t>
  </si>
  <si>
    <t xml:space="preserve">Mary Sebastiana Utreras </t>
  </si>
  <si>
    <t>9241708-5</t>
  </si>
  <si>
    <t>8998390-8</t>
  </si>
  <si>
    <t>CRUZ DIAZ. REBECA DE LAS MERCEDES</t>
  </si>
  <si>
    <t>9012396-3</t>
  </si>
  <si>
    <t>NAVARRO NAVARRO ROXANA DEL CARMEN</t>
  </si>
  <si>
    <t>9039657-9</t>
  </si>
  <si>
    <t>PIZARRO ARAVENA RAQUEL DEL CARMEN</t>
  </si>
  <si>
    <t>9140059-6</t>
  </si>
  <si>
    <t>BUSTAMANTE MARQUEZ ESMERALDA ANAIS</t>
  </si>
  <si>
    <t>9157357-1</t>
  </si>
  <si>
    <t>JORQUERA MORALES ANGELA ELIZABETH</t>
  </si>
  <si>
    <t>UTRERAS UTRERAS MARY SEBASTIANA</t>
  </si>
  <si>
    <t>9252879-0</t>
  </si>
  <si>
    <t xml:space="preserve">Karina del Carmen González López </t>
  </si>
  <si>
    <t>ORTEGA IBARRA ANGELINA DE LAS AGUSTINAS</t>
  </si>
  <si>
    <t>9308443-8</t>
  </si>
  <si>
    <t>VALENCIA INOSTROZA MARIA ANGELICA</t>
  </si>
  <si>
    <t>9389929-6</t>
  </si>
  <si>
    <t>BASUALTO ABARCA VERONICA DEL PILAR</t>
  </si>
  <si>
    <t>GUICHAMAN GUICHAMAN MARIA ZULEMA</t>
  </si>
  <si>
    <t>9471881-3</t>
  </si>
  <si>
    <t>HERRERA GALLARDO ANA MARIA</t>
  </si>
  <si>
    <t>GONZALEZ MUÑOZ CORINA DEL CARMEN</t>
  </si>
  <si>
    <t>9483486-4</t>
  </si>
  <si>
    <t>SANCHEZ ORDENES MARIA ROSA</t>
  </si>
  <si>
    <t>Contrato 2 Kaipoki</t>
  </si>
  <si>
    <t>9486846-7</t>
  </si>
  <si>
    <t>ARAYA ARELLANO VERONICA DEL ROSARIO</t>
  </si>
  <si>
    <t>ALVAYAY GAETE MARTA FRANCISCA</t>
  </si>
  <si>
    <t xml:space="preserve">Pamela Graciela González San Martín </t>
  </si>
  <si>
    <t>9580949-9</t>
  </si>
  <si>
    <t>ARIAS CASTRO ALEJANDRO ESTEBAN</t>
  </si>
  <si>
    <t>9582091-3</t>
  </si>
  <si>
    <t>LAZCANO VERGARA MIRTA DEL CARMEN</t>
  </si>
  <si>
    <t>9599294-3</t>
  </si>
  <si>
    <t>Figueroa Riroroco Ana Isabel</t>
  </si>
  <si>
    <t>9600038-3</t>
  </si>
  <si>
    <t>REBOLLEDO CORREA VIVIANA ROSALBA</t>
  </si>
  <si>
    <t>CARRASCO CARRASCO MARIA ANGELICA</t>
  </si>
  <si>
    <t>RIQUELME AVENDAÑO ERIKA PAZ</t>
  </si>
  <si>
    <t>9617937-5</t>
  </si>
  <si>
    <t>JARA FUENTES CECILIA SOLEDAD</t>
  </si>
  <si>
    <t xml:space="preserve">Cynthia Judith Olivares Páez </t>
  </si>
  <si>
    <t>9623817-7</t>
  </si>
  <si>
    <t>MEJÍAS ROMÁN EMA ROSA</t>
  </si>
  <si>
    <t>9660398-3</t>
  </si>
  <si>
    <t>NUÑEZ DELFINO PATRICIA GEORGINA</t>
  </si>
  <si>
    <t>9665209-7</t>
  </si>
  <si>
    <t>SEGURA CRUZ JULIA YASMIRA</t>
  </si>
  <si>
    <t>9673184-1</t>
  </si>
  <si>
    <t>RAMIREZ VIDELA JULIA DEL CARMEN</t>
  </si>
  <si>
    <t>9681022-9</t>
  </si>
  <si>
    <t>BARROS LAZO MARIA GRACIELA</t>
  </si>
  <si>
    <t>9690132-1</t>
  </si>
  <si>
    <t>GODOY RIFFO SILVIA ISABEL</t>
  </si>
  <si>
    <t>9702715-3</t>
  </si>
  <si>
    <t>VALDES ACEVEDO ROXANA DEL CARMEN</t>
  </si>
  <si>
    <t>SALAS RIVEROS NANCY MABEL</t>
  </si>
  <si>
    <t xml:space="preserve">Paola del Pilar Ruz Báez </t>
  </si>
  <si>
    <t>9741762-8</t>
  </si>
  <si>
    <t>OLIVARES TORRES NANCY DEL CARMEN</t>
  </si>
  <si>
    <t>9744439-0</t>
  </si>
  <si>
    <t>PINOCHET REVECO JACQUELINE EMICINA</t>
  </si>
  <si>
    <t>HORMAZABAL VALENCIA ROSALBA DEL CARMEN</t>
  </si>
  <si>
    <t>9770890-8</t>
  </si>
  <si>
    <t>OLIVOS GALVEZ JUANA MARGARITA</t>
  </si>
  <si>
    <t>9804498-1</t>
  </si>
  <si>
    <t>MONILLA PALOMINOS MARÍA ISABEL</t>
  </si>
  <si>
    <t>9804945-2</t>
  </si>
  <si>
    <t>GODOY CONTRERAS MARISOL DEL CARMEN</t>
  </si>
  <si>
    <t>9839233-5</t>
  </si>
  <si>
    <t>CANDIA MEZA BERNARDA DEL CARMEN</t>
  </si>
  <si>
    <t>9841375-8</t>
  </si>
  <si>
    <t>ORTIZ FIGUEROA MIRYAM DEL CARMEN</t>
  </si>
  <si>
    <t>9842518-7</t>
  </si>
  <si>
    <t>OLAVE SAAVEDRA MARIELA DE LAS MERCEDES</t>
  </si>
  <si>
    <t xml:space="preserve">Jeanette Paola  Marican  Reyes </t>
  </si>
  <si>
    <t>9866990-6</t>
  </si>
  <si>
    <t>LEMUS VEGA ROXANA ANGELINA</t>
  </si>
  <si>
    <t>9960154-K</t>
  </si>
  <si>
    <t>GARCÍA MÉNDEZ MARÍA DEL CARMEN</t>
  </si>
  <si>
    <t>9972885-K</t>
  </si>
  <si>
    <t>LABRA VASQUEZ MONICA DE LAS MERCEDES</t>
  </si>
  <si>
    <t>9980230-8</t>
  </si>
  <si>
    <t>CARVAJAL GUIÑEZ MARIA EUGENIA</t>
  </si>
  <si>
    <t>9990835-1</t>
  </si>
  <si>
    <t>BASTIA MILLAMAN MARGARITA DEL CARMEN</t>
  </si>
  <si>
    <t>9991284-7</t>
  </si>
  <si>
    <t>TRONCOSO RODRIGUEZ ANA MARIA</t>
  </si>
  <si>
    <t xml:space="preserve">Carolina  Del  Pilar Salazar Silva </t>
  </si>
  <si>
    <t xml:space="preserve">VERDUGO RODRIGUEZ MARCELA SOLEDAD </t>
  </si>
  <si>
    <t xml:space="preserve">PASMIÑO VEJAR CAMILA ISABEL </t>
  </si>
  <si>
    <t xml:space="preserve">NAVARRETE OLAVE GUILLERMINA LORETO </t>
  </si>
  <si>
    <t xml:space="preserve">HERMOSILLA REYES LIDIA DEL CARMEN </t>
  </si>
  <si>
    <t>URZUA FERNANDEZ PAOLA</t>
  </si>
  <si>
    <t>DE LA FUENTE MERA NICOLE DENISSE</t>
  </si>
  <si>
    <t>VERDUGO ALVAREZ KAREN HISIS</t>
  </si>
  <si>
    <t xml:space="preserve">ZAMORANO CARRASCO ELIZABETH </t>
  </si>
  <si>
    <t>AHUMADA HENRIQUEZ ANA</t>
  </si>
  <si>
    <t>ACUÑA ULLOA DARLING</t>
  </si>
  <si>
    <t>AILLAPAN MARTINEZ ERIKA</t>
  </si>
  <si>
    <t>BUSTOS BUSTOS NICOLE</t>
  </si>
  <si>
    <t>CABEZAS LEIVA MARIA</t>
  </si>
  <si>
    <t>CARO CARO NORMA</t>
  </si>
  <si>
    <t xml:space="preserve">CARDENAS TAPIA PAOLA </t>
  </si>
  <si>
    <t>CHACON ORTEGA JEANNETTE</t>
  </si>
  <si>
    <t>CHACON ORTEGA JOCELIN</t>
  </si>
  <si>
    <t>CONEJEROS REYES LORENA</t>
  </si>
  <si>
    <t>CORNEJO ESPINOZA FABIOLA</t>
  </si>
  <si>
    <t>DELGADO COLLADO JACQUELINE</t>
  </si>
  <si>
    <t xml:space="preserve">ESPINOZA CATALAN TAMARA </t>
  </si>
  <si>
    <t xml:space="preserve">ESPINOZA RAMIREZ JULIA </t>
  </si>
  <si>
    <t>FLORES PEREZ DENISSE</t>
  </si>
  <si>
    <t xml:space="preserve">FIGUEROA ARANDA VERONICA </t>
  </si>
  <si>
    <t>GALDAMES VERGARA JUANA</t>
  </si>
  <si>
    <t>GONZALEZ CARREÑO EVELYN</t>
  </si>
  <si>
    <t>GONZALEZ CORNEJO YANET</t>
  </si>
  <si>
    <t>GONZALEZ FUENZALIDA SUSANA</t>
  </si>
  <si>
    <t>GONZALEZ VARGAS JENNIFER</t>
  </si>
  <si>
    <t>GONZALEZ VARGAS NATALY</t>
  </si>
  <si>
    <t>GUZMAN RIVERO LORENA</t>
  </si>
  <si>
    <t>HERNANDEZ ARRIAGADA RUTH</t>
  </si>
  <si>
    <t xml:space="preserve">HERRERA GALLARDO ANA MARIA </t>
  </si>
  <si>
    <t>ITURRIETA SAEZ ROMINA</t>
  </si>
  <si>
    <t xml:space="preserve">JAÑA BRICEÑO CAROLINA </t>
  </si>
  <si>
    <t xml:space="preserve">JELVES FERRADA ANA MARIA </t>
  </si>
  <si>
    <t>12512075-k</t>
  </si>
  <si>
    <t xml:space="preserve">JIMENEZ ORTIZ JOSELYN </t>
  </si>
  <si>
    <t>LEPE MIRANDA TABITA</t>
  </si>
  <si>
    <t>LUEIZA MANQUELIPE CLAUDIA</t>
  </si>
  <si>
    <t xml:space="preserve">LUCO BELMAR LETICIA </t>
  </si>
  <si>
    <t>MARTINEZ SANDOVAL ROSA</t>
  </si>
  <si>
    <t>MARTINI MARTINI AMELIA</t>
  </si>
  <si>
    <t>MAUREIRA SEPULVEDA EMA</t>
  </si>
  <si>
    <t>MESINA VALENZUELA JAZMIN</t>
  </si>
  <si>
    <t>MORALES GONZALEZ DORIS</t>
  </si>
  <si>
    <t>MUÑOZ CORREA VANESSA</t>
  </si>
  <si>
    <t>MUÑOZ TORRES BARBARA</t>
  </si>
  <si>
    <t xml:space="preserve">MUÑOZ VARGAS XIMENA </t>
  </si>
  <si>
    <t xml:space="preserve">MAOTOYA HERNENDEZ CAROLAINE </t>
  </si>
  <si>
    <t>NAVARRO ESPINOZA SOLEDAD</t>
  </si>
  <si>
    <t>OLIVARES GACITUA ARELI</t>
  </si>
  <si>
    <t>OLIVARES GACITUA STEPHANIE</t>
  </si>
  <si>
    <t>OLIVARES TORRES NANCY</t>
  </si>
  <si>
    <t>ORTIZ MADRID PATRICIA</t>
  </si>
  <si>
    <t xml:space="preserve">PAVEZ CACERES DAYANA </t>
  </si>
  <si>
    <t xml:space="preserve">PALMA BELMAR REBECA </t>
  </si>
  <si>
    <t xml:space="preserve">PINOCHET REBECO JAQUELINE </t>
  </si>
  <si>
    <t xml:space="preserve">POVEA HUERTA KARINA </t>
  </si>
  <si>
    <t>PREISLER SORIANO CECILIA</t>
  </si>
  <si>
    <t>PREISLER MOLINA SCARLETTE</t>
  </si>
  <si>
    <t>RAMIREZ DONOSO KAREN</t>
  </si>
  <si>
    <t>RIQUELME MALDONADO ANA</t>
  </si>
  <si>
    <t>RIQUELME MALDONADO JOCELYN</t>
  </si>
  <si>
    <t>SALAZAR VELASQUEZ KATHERINE</t>
  </si>
  <si>
    <t>SALAS NORANBUENA LISSETTE</t>
  </si>
  <si>
    <t>SALGADO AMESTICA CAROLINA</t>
  </si>
  <si>
    <t xml:space="preserve">SAAVEDRA GONZALEZ SOFIA </t>
  </si>
  <si>
    <t>SEPULVEDA MANQUELIPE YASNA</t>
  </si>
  <si>
    <t>TORO TORO MARIA</t>
  </si>
  <si>
    <t>TORRES OLIVARES JUANA</t>
  </si>
  <si>
    <t>TRONCOSO PEREZ DE V CARMEN</t>
  </si>
  <si>
    <t xml:space="preserve">VALDES CORTES TAMARA </t>
  </si>
  <si>
    <t>VALENZUELA VALENZUELA SILVANA</t>
  </si>
  <si>
    <t>VEGA CASTILLO  NATALY</t>
  </si>
  <si>
    <t>VENEGAS OYARCE ALICIA</t>
  </si>
  <si>
    <t>12280593-k</t>
  </si>
  <si>
    <t>VERGARA CATALAN EMA</t>
  </si>
  <si>
    <t>VIDAL MUÑOZ EVELYN</t>
  </si>
  <si>
    <t>13709228-k</t>
  </si>
  <si>
    <t xml:space="preserve">VIVANCO BRIONES FABIOLA </t>
  </si>
  <si>
    <t xml:space="preserve">VILLAMAN DIAZ ROSA </t>
  </si>
  <si>
    <t>SILVIA DEL CARMEN BRICEÑO ROMERO</t>
  </si>
  <si>
    <t>MIRIAM VERONICA PEREZ QUEZADA</t>
  </si>
  <si>
    <t>MAGALY ALEJANDRA LEON RODRIGUEZ</t>
  </si>
  <si>
    <t>LINA CAROL VIVANCO CARVALLO</t>
  </si>
  <si>
    <t>MARCELA JEANETTE MATURANA PEREZ</t>
  </si>
  <si>
    <t>ROSA ANGELICA GALLEGOS OCHOA</t>
  </si>
  <si>
    <t>EVELYN ALEXANDRA ORREGO CONTRERAS</t>
  </si>
  <si>
    <t>DOMITILA MIREYA MULATO LLAO</t>
  </si>
  <si>
    <t>GLADYS FLOR MULATO LLAO</t>
  </si>
  <si>
    <t>NANCY KARINA VALENZUELA GUERRERO</t>
  </si>
  <si>
    <t>OLVIDO VERONICA VALDERRAMA ARROYO</t>
  </si>
  <si>
    <t>ROSA DELIA ORTEGA SANTIBANEZ</t>
  </si>
  <si>
    <t>CECILIA ELIZABETH VILLALON DIAZ</t>
  </si>
  <si>
    <t>NUVIA CRISTINA NAVARRO NEIRA</t>
  </si>
  <si>
    <t>MARCIA DEL ROSARIO PINTO MADRID</t>
  </si>
  <si>
    <t>CAROLINA ANDREA BELMAR MACAYA</t>
  </si>
  <si>
    <t>GRACIELA DE LAS MERCEDES PINO SUAREZ</t>
  </si>
  <si>
    <t>CLAUDIA ISABEL DIAZ ESCOBAR</t>
  </si>
  <si>
    <t>MARIA ANGELICA REYES JARA</t>
  </si>
  <si>
    <t>PAMELA WENDOLY PINTO ZUÑIGA</t>
  </si>
  <si>
    <t>BLANCA ROSA FERNANDEZ ROJAS</t>
  </si>
  <si>
    <t>PAOLA KARINA VILLALON DIAZ</t>
  </si>
  <si>
    <t>KATHERINNE VERONICA RENCORET LEIVA</t>
  </si>
  <si>
    <t>ANDREA DE LAS MERCEDES CORNEJO URIBE</t>
  </si>
  <si>
    <t>JULIA SOLEDAD ROJAS BRAVO</t>
  </si>
  <si>
    <t>PAULINA ANTONIETA TOLOZA ROJAS</t>
  </si>
  <si>
    <t>BEATRIZ DE LOS ANGELES ARELLANO ROBILLIARD</t>
  </si>
  <si>
    <t>CLAUDIA CAROLINA CONTRERAS FUENTES</t>
  </si>
  <si>
    <t>ERIKA ANDREA SALINAS BENITEZ</t>
  </si>
  <si>
    <t>MARIBEL SOLEDAD CEPEDA NUÑEZ</t>
  </si>
  <si>
    <t>OLGA DEL CARMEN ZARATE MILLACARIS</t>
  </si>
  <si>
    <t>ELIZABETH GUADALUPE CAYUN ROJAS</t>
  </si>
  <si>
    <t>SILVIA DE LAS MERCEDES SALAZAR CABEZAS</t>
  </si>
  <si>
    <t>RUTH MONICA MORALES CHAVEZ</t>
  </si>
  <si>
    <t>ISABEL ESTER FIGUEROA VERDUGO</t>
  </si>
  <si>
    <t>KATHERINE ELIZABETH ACEVEDO GONZALEZ</t>
  </si>
  <si>
    <t>MARCELA ANDREA VARGAS TAPIA</t>
  </si>
  <si>
    <t>CLARA DEL CARMEN ORTIZ ZAPATA</t>
  </si>
  <si>
    <t>TERESA DEL CARMEN VEGA OJEDA</t>
  </si>
  <si>
    <t>LORENA DEL CARMEN MEDEL GARCIA</t>
  </si>
  <si>
    <t>MICHELLE CAROLINA SILVA VALENZUELA</t>
  </si>
  <si>
    <t>KATHERINE DEL CARMEN MONSALVE HERRERA</t>
  </si>
  <si>
    <t>MARITZA ANDREA CIFUENTES CUBILLOS</t>
  </si>
  <si>
    <t>SANDY CAROLINA ARAYA SARAVIA</t>
  </si>
  <si>
    <t>MABEL ANGELICA TORRES LOBOS</t>
  </si>
  <si>
    <t>VALERIA FRANCISCA LACOSTE ARAYA</t>
  </si>
  <si>
    <t>NAYARETH PAOLA BERRIOS JERALDO</t>
  </si>
  <si>
    <t>ESTRELLA DEL CARMEN BAHAMONDES MULATO</t>
  </si>
  <si>
    <t>PAMELA ROSA REINOSO CISTERNA</t>
  </si>
  <si>
    <t>ERIKA JAZMIN MARILEO HUENTECURA</t>
  </si>
  <si>
    <t>BELEN MACIEL TOBAR ARANCIBIA</t>
  </si>
  <si>
    <t>BARBARA MICHELLE ARRIETA GARCIA</t>
  </si>
  <si>
    <t>MARIA JOSE FLORES MUÑOZ</t>
  </si>
  <si>
    <t>PAOLA ALEJANDRA DEL VALLE CABEZAS</t>
  </si>
  <si>
    <t>KAREN GIANNINA CARTES SANTIBAÑEZ</t>
  </si>
  <si>
    <t>VALENTINA ANTONIA RIVERA VILLALON</t>
  </si>
  <si>
    <t>OLGA DEL CARMEN MEZA HERRERA</t>
  </si>
  <si>
    <t>LUCY DEL CARMEN OLGUIN ESCOBAR</t>
  </si>
  <si>
    <t>ERIKA DEL CARMEN MANDUJANO PARDO</t>
  </si>
  <si>
    <t>BELLA ESPERANZA ROJAS SEREY</t>
  </si>
  <si>
    <t>LUZ MARIANA HIDALGO VERGARA</t>
  </si>
  <si>
    <t>GABRIELA LEONOR TOLEDO DIAZ</t>
  </si>
  <si>
    <t>ALEJANDRA DEL CARMEN VALENZUELA RIVERA</t>
  </si>
  <si>
    <t>VERONICA DEL PILAR NEIRA PARDO</t>
  </si>
  <si>
    <t>PAULINA DEL CARMEN CABEZAS DIAZ</t>
  </si>
  <si>
    <t>ROXANA DEL CARMEN NAVARRO NAVARRO</t>
  </si>
  <si>
    <t>MARIA ROSA SANCHEZ ORDENES</t>
  </si>
  <si>
    <t>MONICA DE LAS MERCEDES LABRA VASQUEZ</t>
  </si>
  <si>
    <t>ANGELINA DE LOURDES HUENCHUÑIR ARBORNOS</t>
  </si>
  <si>
    <t>BARBARA ANDREA GODOY VILLASECA</t>
  </si>
  <si>
    <t>BRITT PAZ JARAMILLO VERGARA</t>
  </si>
  <si>
    <t>CAROL VICTORIA NUÑEZ MALLEA</t>
  </si>
  <si>
    <t>CAROLINA JASMIN LAGOS ARAMBURO</t>
  </si>
  <si>
    <t>CATALINA ANGELICA ROMAN CUBILLO</t>
  </si>
  <si>
    <t>CLAUDIA ANDREA PINTO MONDACA</t>
  </si>
  <si>
    <t>CLAUDIA BEATRIZ COFRE ALCAMAN</t>
  </si>
  <si>
    <t>CLAUDIA VIVIANA GONZALEZ PINCHETTI</t>
  </si>
  <si>
    <t>CLAUDIA XIMENA ZURITA MORAGA</t>
  </si>
  <si>
    <t>CYNTHIA JUDITH OLIVARES PAEZ</t>
  </si>
  <si>
    <t>ERIKA PAZ RIQUELME AVENDAÑO</t>
  </si>
  <si>
    <t>FARAH MARGARITA PEREZ JOCHAVA</t>
  </si>
  <si>
    <t>GLADYS MARGARITA ROMERO GONZALEZ</t>
  </si>
  <si>
    <t>GLORIA ANDREA CATRICURA BERTRAND</t>
  </si>
  <si>
    <t>GRICELDA ANGELICA GRUZ GUTIERREZ</t>
  </si>
  <si>
    <t>HILDA MERCEDES LLINAS LEON</t>
  </si>
  <si>
    <t xml:space="preserve">ISABEL ENRIQUETA AGULERA INAQUIEL </t>
  </si>
  <si>
    <t>ISOLINA DEL ROSARIO FLORES PEÑA</t>
  </si>
  <si>
    <t>JACQUELINE DEL CARMEN MUÑOZ LAGOS</t>
  </si>
  <si>
    <t>JULIA BEATRIZ ESPINOZA RIVERA</t>
  </si>
  <si>
    <t>KATHERINE ELIZABETH TRONCOSO DUCOS</t>
  </si>
  <si>
    <t>KATHERINE MACARENA HURTADO GONZALEZ</t>
  </si>
  <si>
    <t>LAURA SOLEDAD SALAZAR TOLEDO</t>
  </si>
  <si>
    <t>LESLIE JACQUELINE PEREZ MUÑOZ</t>
  </si>
  <si>
    <t>MACARENA EDUVIGIS PALACIO VIDAL</t>
  </si>
  <si>
    <t>MARBEL LUCILA QUEZADA TOLEDO</t>
  </si>
  <si>
    <t>MARGARITA ANDREA CLAVEU FABRES</t>
  </si>
  <si>
    <t>MARIA  ANGELICA SILVA SEPULVEDA</t>
  </si>
  <si>
    <t>MARIA ISABEL PEREZ CASTRO</t>
  </si>
  <si>
    <t>MARIA LUISA DEL CARMEN GALDAMES OBANDO</t>
  </si>
  <si>
    <t>MARIA TERESA INOSTROZA ESTRADA</t>
  </si>
  <si>
    <t>MARIA TERESA ORMEÑO YAÑEZ</t>
  </si>
  <si>
    <t>MARIANELLA DEL CARMEN SERRANO CONCHA</t>
  </si>
  <si>
    <t>MELANY EUNICE AREVALOS VEAS</t>
  </si>
  <si>
    <t>MILLARAY ELOISA VALENZUELA RIQUELME</t>
  </si>
  <si>
    <t>MONICA DEL PILAR GODOY MANCILLA</t>
  </si>
  <si>
    <t>PAMELA GRACIELA GONZALEZ SAN MARTIN</t>
  </si>
  <si>
    <t>PAOLA OLINDA TOLEDO MOLINA</t>
  </si>
  <si>
    <t>RAFAELLA LUISA ROJAS HIDALGO</t>
  </si>
  <si>
    <t>ROXANA EDITH ARENAZA LEON</t>
  </si>
  <si>
    <t>TAMARA ANDREA CRISTI PRADEL</t>
  </si>
  <si>
    <t>VIRGINIA DEL CARMEN ESTANILLA MUÑOZ</t>
  </si>
  <si>
    <t>YASSIA ALEJANDRA PEREZ JOCHAVA</t>
  </si>
  <si>
    <t>Castro Retamales Estefani</t>
  </si>
  <si>
    <t>Hidalgo Salinas Jocelyn</t>
  </si>
  <si>
    <t>Basualto Abarca Veronica</t>
  </si>
  <si>
    <t>Nilo Guajardo Maria Jose</t>
  </si>
  <si>
    <t>GONZALEZ GONZALEZ MARCELA  ANDREA</t>
  </si>
  <si>
    <t>AVALOS RIQUELME NATHALI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</si>
</sst>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;[Red]0"/>
    <numFmt numFmtId="165" formatCode="_ &quot;$&quot;* #,##0_ ;_ &quot;$&quot;* \-#,##0_ ;_ &quot;$&quot;* &quot;-&quot;_ ;_ @_ "/>
  </numFmts>
  <fonts count="13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0.0"/>
      <color theme="0"/>
      <name val="Arial"/>
    </font>
    <font>
      <b/>
      <sz val="11.0"/>
      <color rgb="FFFFFFFF"/>
      <name val="Calibri"/>
    </font>
    <font>
      <sz val="11.0"/>
      <color rgb="FF212529"/>
      <name val="Roboto"/>
    </font>
    <font>
      <b/>
      <sz val="11.0"/>
      <color theme="0"/>
      <name val="Arial"/>
    </font>
    <font>
      <sz val="10.0"/>
      <color theme="1"/>
      <name val="Arial"/>
    </font>
    <font>
      <sz val="11.0"/>
      <color theme="0"/>
      <name val="Aptos Narrow"/>
    </font>
    <font>
      <sz val="11.0"/>
      <color rgb="FF000000"/>
      <name val="Calibri"/>
    </font>
    <font>
      <sz val="12.0"/>
      <color theme="1"/>
      <name val="Arial Narrow"/>
    </font>
    <font>
      <color theme="1"/>
      <name val="Aptos Narrow"/>
      <scheme val="minor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49EDD"/>
        <bgColor rgb="FFE49EDD"/>
      </patternFill>
    </fill>
    <fill>
      <patternFill patternType="solid">
        <fgColor rgb="FF45B0E1"/>
        <bgColor rgb="FF45B0E1"/>
      </patternFill>
    </fill>
    <fill>
      <patternFill patternType="solid">
        <fgColor rgb="FF6492BE"/>
        <bgColor rgb="FF6492BE"/>
      </patternFill>
    </fill>
    <fill>
      <patternFill patternType="solid">
        <fgColor theme="0"/>
        <bgColor theme="0"/>
      </patternFill>
    </fill>
    <fill>
      <patternFill patternType="solid">
        <fgColor rgb="FFF6F9FA"/>
        <bgColor rgb="FFF6F9FA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rgb="FF60CBF3"/>
        <bgColor rgb="FF60CBF3"/>
      </patternFill>
    </fill>
    <fill>
      <patternFill patternType="solid">
        <fgColor rgb="FF78206E"/>
        <bgColor rgb="FF78206E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/>
    </xf>
    <xf borderId="1" fillId="3" fontId="1" numFmtId="0" xfId="0" applyBorder="1" applyFill="1" applyFont="1"/>
    <xf borderId="1" fillId="4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5" fontId="4" numFmtId="0" xfId="0" applyAlignment="1" applyFill="1" applyFont="1">
      <alignment horizontal="center" readingOrder="0" shrinkToFit="0" wrapText="0"/>
    </xf>
    <xf borderId="1" fillId="6" fontId="1" numFmtId="0" xfId="0" applyBorder="1" applyFill="1" applyFont="1"/>
    <xf borderId="0" fillId="7" fontId="5" numFmtId="0" xfId="0" applyAlignment="1" applyFill="1" applyFont="1">
      <alignment horizontal="left" readingOrder="0"/>
    </xf>
    <xf borderId="1" fillId="4" fontId="6" numFmtId="164" xfId="0" applyAlignment="1" applyBorder="1" applyFont="1" applyNumberFormat="1">
      <alignment horizontal="right" vertical="center"/>
    </xf>
    <xf borderId="1" fillId="8" fontId="1" numFmtId="0" xfId="0" applyBorder="1" applyFill="1" applyFont="1"/>
    <xf borderId="1" fillId="4" fontId="6" numFmtId="164" xfId="0" applyAlignment="1" applyBorder="1" applyFont="1" applyNumberFormat="1">
      <alignment horizontal="center" vertical="center"/>
    </xf>
    <xf borderId="1" fillId="9" fontId="1" numFmtId="0" xfId="0" applyBorder="1" applyFill="1" applyFont="1"/>
    <xf borderId="1" fillId="4" fontId="6" numFmtId="165" xfId="0" applyAlignment="1" applyBorder="1" applyFont="1" applyNumberFormat="1">
      <alignment horizontal="center" shrinkToFit="0" vertical="center" wrapText="1"/>
    </xf>
    <xf borderId="1" fillId="10" fontId="1" numFmtId="0" xfId="0" applyBorder="1" applyFill="1" applyFont="1"/>
    <xf borderId="1" fillId="11" fontId="7" numFmtId="164" xfId="0" applyAlignment="1" applyBorder="1" applyFill="1" applyFont="1" applyNumberFormat="1">
      <alignment horizontal="right"/>
    </xf>
    <xf borderId="1" fillId="12" fontId="1" numFmtId="0" xfId="0" applyBorder="1" applyFill="1" applyFont="1"/>
    <xf borderId="1" fillId="11" fontId="7" numFmtId="0" xfId="0" applyAlignment="1" applyBorder="1" applyFont="1">
      <alignment horizontal="left"/>
    </xf>
    <xf borderId="1" fillId="13" fontId="8" numFmtId="0" xfId="0" applyBorder="1" applyFill="1" applyFont="1"/>
    <xf borderId="1" fillId="14" fontId="1" numFmtId="0" xfId="0" applyBorder="1" applyFill="1" applyFont="1"/>
    <xf borderId="1" fillId="15" fontId="1" numFmtId="0" xfId="0" applyBorder="1" applyFill="1" applyFont="1"/>
    <xf borderId="1" fillId="4" fontId="6" numFmtId="164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right"/>
    </xf>
    <xf borderId="1" fillId="16" fontId="1" numFmtId="0" xfId="0" applyBorder="1" applyFill="1" applyFont="1"/>
    <xf borderId="0" fillId="0" fontId="9" numFmtId="0" xfId="0" applyAlignment="1" applyFont="1">
      <alignment horizontal="right" readingOrder="0" shrinkToFit="0" vertical="bottom" wrapText="0"/>
    </xf>
    <xf borderId="1" fillId="11" fontId="7" numFmtId="165" xfId="0" applyBorder="1" applyFont="1" applyNumberFormat="1"/>
    <xf borderId="0" fillId="0" fontId="1" numFmtId="0" xfId="0" applyAlignment="1" applyFont="1">
      <alignment horizontal="center"/>
    </xf>
    <xf borderId="1" fillId="0" fontId="10" numFmtId="165" xfId="0" applyAlignment="1" applyBorder="1" applyFont="1" applyNumberFormat="1">
      <alignment horizontal="right" vertical="center"/>
    </xf>
    <xf borderId="1" fillId="0" fontId="10" numFmtId="3" xfId="0" applyAlignment="1" applyBorder="1" applyFont="1" applyNumberFormat="1">
      <alignment horizontal="right" vertical="center"/>
    </xf>
    <xf borderId="1" fillId="11" fontId="7" numFmtId="3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0" numFmtId="3" xfId="0" applyAlignment="1" applyBorder="1" applyFont="1" applyNumberFormat="1">
      <alignment horizontal="right" readingOrder="0" vertical="center"/>
    </xf>
    <xf borderId="1" fillId="0" fontId="1" numFmtId="165" xfId="0" applyBorder="1" applyFont="1" applyNumberFormat="1"/>
    <xf borderId="0" fillId="0" fontId="1" numFmtId="164" xfId="0" applyAlignment="1" applyFont="1" applyNumberFormat="1">
      <alignment horizontal="right"/>
    </xf>
    <xf borderId="0" fillId="0" fontId="9" numFmtId="0" xfId="0" applyAlignment="1" applyFont="1">
      <alignment readingOrder="0" shrinkToFit="0" vertical="bottom" wrapText="0"/>
    </xf>
    <xf borderId="1" fillId="11" fontId="7" numFmtId="165" xfId="0" applyAlignment="1" applyBorder="1" applyFont="1" applyNumberFormat="1">
      <alignment horizontal="right"/>
    </xf>
    <xf borderId="1" fillId="11" fontId="7" numFmtId="3" xfId="0" applyAlignment="1" applyBorder="1" applyFont="1" applyNumberFormat="1">
      <alignment horizontal="left" readingOrder="0"/>
    </xf>
    <xf borderId="1" fillId="11" fontId="7" numFmtId="3" xfId="0" applyAlignment="1" applyBorder="1" applyFont="1" applyNumberFormat="1">
      <alignment horizontal="right" readingOrder="0"/>
    </xf>
    <xf borderId="2" fillId="0" fontId="1" numFmtId="0" xfId="0" applyBorder="1" applyFont="1"/>
    <xf borderId="3" fillId="11" fontId="7" numFmtId="0" xfId="0" applyAlignment="1" applyBorder="1" applyFont="1">
      <alignment horizontal="left"/>
    </xf>
    <xf borderId="4" fillId="11" fontId="7" numFmtId="165" xfId="0" applyBorder="1" applyFont="1" applyNumberFormat="1"/>
    <xf borderId="5" fillId="11" fontId="7" numFmtId="165" xfId="0" applyAlignment="1" applyBorder="1" applyFont="1" applyNumberFormat="1">
      <alignment horizontal="right"/>
    </xf>
    <xf borderId="0" fillId="0" fontId="12" numFmtId="0" xfId="0" applyAlignment="1" applyFont="1">
      <alignment readingOrder="0"/>
    </xf>
    <xf borderId="4" fillId="11" fontId="7" numFmtId="3" xfId="0" applyAlignment="1" applyBorder="1" applyFont="1" applyNumberFormat="1">
      <alignment readingOrder="0"/>
    </xf>
    <xf borderId="5" fillId="11" fontId="7" numFmtId="3" xfId="0" applyAlignment="1" applyBorder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0" fontId="1" numFmtId="165" xfId="0" applyFont="1" applyNumberFormat="1"/>
    <xf borderId="6" fillId="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47D02483-9AD2-48CC-B259-33733BE81A94}" id="{f084c6fe-26fd-4897-aa42-eb4e85cc23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7-25T15:04:51.00" personId="{f084c6fe-26fd-4897-aa42-eb4e85cc2362}" id="{5e8fa585-c74f-4b1b-8055-7e495646d506}" done="0">
    <x18tc:tex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FAVOR VER LAS OBSERVACIONES YA QUE HAY NUEVOS INGRESOS EN LOS SINDICATOS Y NUEVAS MPA CON DOBLE DESCUENTO</x18tc:text>
    <x18tc:extLst>
      <ext uri="{F7C98A9C-CBB3-438F-8F68-D28B6AF4A901}">
        <xltc2:checksum/>
        <xltc2:hyperlink startIndex="221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63"/>
    <col customWidth="1" min="2" max="2" width="11.38"/>
    <col customWidth="1" min="3" max="3" width="12.13"/>
    <col customWidth="1" min="4" max="4" width="10.63"/>
    <col customWidth="1" min="5" max="5" width="11.38"/>
    <col customWidth="1" min="6" max="8" width="10.63"/>
    <col customWidth="1" min="9" max="9" width="11.0"/>
    <col customWidth="1" min="10" max="10" width="69.25"/>
    <col customWidth="1" min="11" max="12" width="83.88"/>
    <col customWidth="1" min="13" max="13" width="19.0"/>
    <col customWidth="1" min="14" max="14" width="33.75"/>
    <col customWidth="1" min="15" max="26" width="10.63"/>
  </cols>
  <sheetData>
    <row r="1" ht="77.25" customHeight="1">
      <c r="A1" s="4" t="s">
        <v>3</v>
      </c>
      <c r="B1" s="9" t="s">
        <v>6</v>
      </c>
      <c r="C1" s="13" t="s">
        <v>18</v>
      </c>
      <c r="D1" s="13" t="s">
        <v>28</v>
      </c>
      <c r="E1" s="13" t="s">
        <v>29</v>
      </c>
      <c r="F1" s="13" t="s">
        <v>31</v>
      </c>
      <c r="G1" s="13" t="s">
        <v>32</v>
      </c>
      <c r="H1" s="13" t="s">
        <v>34</v>
      </c>
      <c r="I1" s="13" t="s">
        <v>35</v>
      </c>
      <c r="J1" s="13" t="s">
        <v>22</v>
      </c>
      <c r="K1" s="21" t="s">
        <v>0</v>
      </c>
      <c r="L1" s="21" t="s">
        <v>40</v>
      </c>
      <c r="M1" s="22" t="b">
        <v>1</v>
      </c>
      <c r="N1" s="21" t="s">
        <v>45</v>
      </c>
    </row>
    <row r="2" hidden="1">
      <c r="A2" s="17" t="s">
        <v>30</v>
      </c>
      <c r="B2" s="15" t="s">
        <v>25</v>
      </c>
      <c r="C2" s="26">
        <v>5000.0</v>
      </c>
      <c r="D2" s="1"/>
      <c r="E2" s="28"/>
      <c r="F2" s="1"/>
      <c r="G2" s="29"/>
      <c r="H2" s="1"/>
      <c r="I2" s="1"/>
      <c r="J2" s="1" t="s">
        <v>53</v>
      </c>
      <c r="K2" s="24" t="s">
        <v>46</v>
      </c>
      <c r="L2" s="1" t="str">
        <f t="shared" ref="L2:L363" si="1">VLOOKUP(B2,'[1]Hoja 1'!$A:$J,10,0)</f>
        <v>#REF!</v>
      </c>
      <c r="M2" s="1" t="str">
        <f t="shared" ref="M2:M363" si="2">L2=K2</f>
        <v>#REF!</v>
      </c>
      <c r="N2" s="1" t="str">
        <f t="shared" ref="N2:N363" si="3">VLOOKUP(B2,'[1]Hoja 1'!$A:$F,6,0)</f>
        <v>#REF!</v>
      </c>
    </row>
    <row r="3" hidden="1">
      <c r="A3" s="17" t="s">
        <v>63</v>
      </c>
      <c r="B3" s="15" t="s">
        <v>62</v>
      </c>
      <c r="C3" s="26">
        <v>5000.0</v>
      </c>
      <c r="D3" s="1"/>
      <c r="E3" s="34"/>
      <c r="F3" s="1"/>
      <c r="G3" s="1"/>
      <c r="H3" s="1"/>
      <c r="I3" s="1"/>
      <c r="J3" s="1" t="s">
        <v>53</v>
      </c>
      <c r="K3" s="24" t="s">
        <v>46</v>
      </c>
      <c r="L3" s="1" t="str">
        <f t="shared" si="1"/>
        <v>#REF!</v>
      </c>
      <c r="M3" s="1" t="str">
        <f t="shared" si="2"/>
        <v>#REF!</v>
      </c>
      <c r="N3" s="1" t="str">
        <f t="shared" si="3"/>
        <v>#REF!</v>
      </c>
    </row>
    <row r="4" hidden="1">
      <c r="A4" s="17" t="s">
        <v>65</v>
      </c>
      <c r="B4" s="35" t="s">
        <v>64</v>
      </c>
      <c r="C4" s="26">
        <v>5000.0</v>
      </c>
      <c r="D4" s="1"/>
      <c r="E4" s="34"/>
      <c r="F4" s="1"/>
      <c r="G4" s="1"/>
      <c r="H4" s="1"/>
      <c r="I4" s="1"/>
      <c r="J4" s="1" t="s">
        <v>53</v>
      </c>
      <c r="K4" s="24" t="s">
        <v>46</v>
      </c>
      <c r="L4" s="1" t="str">
        <f t="shared" si="1"/>
        <v>#REF!</v>
      </c>
      <c r="M4" s="1" t="str">
        <f t="shared" si="2"/>
        <v>#REF!</v>
      </c>
      <c r="N4" s="1" t="str">
        <f t="shared" si="3"/>
        <v>#REF!</v>
      </c>
    </row>
    <row r="5" hidden="1">
      <c r="A5" s="17" t="s">
        <v>67</v>
      </c>
      <c r="B5" s="23" t="s">
        <v>66</v>
      </c>
      <c r="C5" s="26">
        <v>5000.0</v>
      </c>
      <c r="D5" s="1"/>
      <c r="E5" s="34"/>
      <c r="F5" s="1"/>
      <c r="G5" s="1"/>
      <c r="H5" s="1"/>
      <c r="I5" s="1"/>
      <c r="J5" s="1" t="s">
        <v>53</v>
      </c>
      <c r="K5" s="24" t="s">
        <v>46</v>
      </c>
      <c r="L5" s="1" t="str">
        <f t="shared" si="1"/>
        <v>#REF!</v>
      </c>
      <c r="M5" s="1" t="str">
        <f t="shared" si="2"/>
        <v>#REF!</v>
      </c>
      <c r="N5" s="1" t="str">
        <f t="shared" si="3"/>
        <v>#REF!</v>
      </c>
    </row>
    <row r="6" hidden="1">
      <c r="A6" s="17" t="s">
        <v>69</v>
      </c>
      <c r="B6" s="23" t="s">
        <v>68</v>
      </c>
      <c r="C6" s="26">
        <v>5000.0</v>
      </c>
      <c r="D6" s="1"/>
      <c r="E6" s="34"/>
      <c r="F6" s="1"/>
      <c r="G6" s="1"/>
      <c r="H6" s="1"/>
      <c r="I6" s="1"/>
      <c r="J6" s="1" t="s">
        <v>53</v>
      </c>
      <c r="K6" s="24" t="s">
        <v>46</v>
      </c>
      <c r="L6" s="1" t="str">
        <f t="shared" si="1"/>
        <v>#REF!</v>
      </c>
      <c r="M6" s="1" t="str">
        <f t="shared" si="2"/>
        <v>#REF!</v>
      </c>
      <c r="N6" s="1" t="str">
        <f t="shared" si="3"/>
        <v>#REF!</v>
      </c>
    </row>
    <row r="7" hidden="1">
      <c r="A7" s="17" t="s">
        <v>71</v>
      </c>
      <c r="B7" s="23" t="s">
        <v>70</v>
      </c>
      <c r="C7" s="26">
        <v>5000.0</v>
      </c>
      <c r="D7" s="1"/>
      <c r="E7" s="34"/>
      <c r="F7" s="1"/>
      <c r="G7" s="1"/>
      <c r="H7" s="1"/>
      <c r="I7" s="1"/>
      <c r="J7" s="1" t="s">
        <v>53</v>
      </c>
      <c r="K7" s="24" t="s">
        <v>46</v>
      </c>
      <c r="L7" s="1" t="str">
        <f t="shared" si="1"/>
        <v>#REF!</v>
      </c>
      <c r="M7" s="1" t="str">
        <f t="shared" si="2"/>
        <v>#REF!</v>
      </c>
      <c r="N7" s="1" t="str">
        <f t="shared" si="3"/>
        <v>#REF!</v>
      </c>
    </row>
    <row r="8" hidden="1">
      <c r="A8" s="17" t="s">
        <v>72</v>
      </c>
      <c r="B8" s="23" t="s">
        <v>73</v>
      </c>
      <c r="C8" s="26">
        <v>5000.0</v>
      </c>
      <c r="D8" s="1"/>
      <c r="E8" s="34"/>
      <c r="F8" s="1"/>
      <c r="G8" s="1"/>
      <c r="H8" s="1"/>
      <c r="I8" s="1"/>
      <c r="J8" s="1" t="s">
        <v>53</v>
      </c>
      <c r="K8" s="24" t="s">
        <v>46</v>
      </c>
      <c r="L8" s="1" t="str">
        <f t="shared" si="1"/>
        <v>#REF!</v>
      </c>
      <c r="M8" s="1" t="str">
        <f t="shared" si="2"/>
        <v>#REF!</v>
      </c>
      <c r="N8" s="1" t="str">
        <f t="shared" si="3"/>
        <v>#REF!</v>
      </c>
    </row>
    <row r="9" hidden="1">
      <c r="A9" s="17" t="s">
        <v>74</v>
      </c>
      <c r="B9" s="23" t="s">
        <v>75</v>
      </c>
      <c r="C9" s="26">
        <v>5000.0</v>
      </c>
      <c r="D9" s="1"/>
      <c r="E9" s="34"/>
      <c r="F9" s="1"/>
      <c r="G9" s="1"/>
      <c r="H9" s="1"/>
      <c r="I9" s="1"/>
      <c r="J9" s="1" t="s">
        <v>53</v>
      </c>
      <c r="K9" s="24" t="s">
        <v>46</v>
      </c>
      <c r="L9" s="1" t="str">
        <f t="shared" si="1"/>
        <v>#REF!</v>
      </c>
      <c r="M9" s="1" t="str">
        <f t="shared" si="2"/>
        <v>#REF!</v>
      </c>
      <c r="N9" s="1" t="str">
        <f t="shared" si="3"/>
        <v>#REF!</v>
      </c>
    </row>
    <row r="10" hidden="1">
      <c r="A10" s="17" t="s">
        <v>76</v>
      </c>
      <c r="B10" s="23" t="s">
        <v>77</v>
      </c>
      <c r="C10" s="26">
        <v>5000.0</v>
      </c>
      <c r="D10" s="1"/>
      <c r="E10" s="34"/>
      <c r="F10" s="1"/>
      <c r="G10" s="1"/>
      <c r="H10" s="1"/>
      <c r="I10" s="1"/>
      <c r="J10" s="1" t="s">
        <v>53</v>
      </c>
      <c r="K10" s="24" t="s">
        <v>46</v>
      </c>
      <c r="L10" s="1" t="str">
        <f t="shared" si="1"/>
        <v>#REF!</v>
      </c>
      <c r="M10" s="1" t="str">
        <f t="shared" si="2"/>
        <v>#REF!</v>
      </c>
      <c r="N10" s="1" t="str">
        <f t="shared" si="3"/>
        <v>#REF!</v>
      </c>
    </row>
    <row r="11" hidden="1">
      <c r="A11" s="17" t="s">
        <v>78</v>
      </c>
      <c r="B11" s="23" t="s">
        <v>79</v>
      </c>
      <c r="C11" s="26">
        <v>5000.0</v>
      </c>
      <c r="D11" s="1"/>
      <c r="E11" s="34"/>
      <c r="F11" s="1"/>
      <c r="G11" s="1"/>
      <c r="H11" s="1"/>
      <c r="I11" s="1"/>
      <c r="J11" s="1" t="s">
        <v>53</v>
      </c>
      <c r="K11" s="24" t="s">
        <v>46</v>
      </c>
      <c r="L11" s="1" t="str">
        <f t="shared" si="1"/>
        <v>#REF!</v>
      </c>
      <c r="M11" s="1" t="str">
        <f t="shared" si="2"/>
        <v>#REF!</v>
      </c>
      <c r="N11" s="1" t="str">
        <f t="shared" si="3"/>
        <v>#REF!</v>
      </c>
    </row>
    <row r="12" hidden="1">
      <c r="A12" s="17" t="s">
        <v>95</v>
      </c>
      <c r="B12" s="23" t="s">
        <v>93</v>
      </c>
      <c r="C12" s="26">
        <v>5000.0</v>
      </c>
      <c r="D12" s="1"/>
      <c r="E12" s="34"/>
      <c r="F12" s="1"/>
      <c r="G12" s="1"/>
      <c r="H12" s="1"/>
      <c r="I12" s="1"/>
      <c r="J12" s="1" t="s">
        <v>53</v>
      </c>
      <c r="K12" s="24" t="s">
        <v>46</v>
      </c>
      <c r="L12" s="1" t="str">
        <f t="shared" si="1"/>
        <v>#REF!</v>
      </c>
      <c r="M12" s="1" t="str">
        <f t="shared" si="2"/>
        <v>#REF!</v>
      </c>
      <c r="N12" s="1" t="str">
        <f t="shared" si="3"/>
        <v>#REF!</v>
      </c>
    </row>
    <row r="13" hidden="1">
      <c r="A13" s="17" t="s">
        <v>108</v>
      </c>
      <c r="B13" s="23" t="s">
        <v>106</v>
      </c>
      <c r="C13" s="26">
        <v>5000.0</v>
      </c>
      <c r="D13" s="1"/>
      <c r="E13" s="34"/>
      <c r="F13" s="1"/>
      <c r="G13" s="1"/>
      <c r="H13" s="1"/>
      <c r="I13" s="1"/>
      <c r="J13" s="1" t="s">
        <v>53</v>
      </c>
      <c r="K13" s="24" t="s">
        <v>46</v>
      </c>
      <c r="L13" s="1" t="str">
        <f t="shared" si="1"/>
        <v>#REF!</v>
      </c>
      <c r="M13" s="1" t="str">
        <f t="shared" si="2"/>
        <v>#REF!</v>
      </c>
      <c r="N13" s="1" t="str">
        <f t="shared" si="3"/>
        <v>#REF!</v>
      </c>
    </row>
    <row r="14" hidden="1">
      <c r="A14" s="17" t="s">
        <v>122</v>
      </c>
      <c r="B14" s="23" t="s">
        <v>121</v>
      </c>
      <c r="C14" s="26">
        <v>5000.0</v>
      </c>
      <c r="D14" s="1"/>
      <c r="E14" s="34"/>
      <c r="F14" s="1"/>
      <c r="G14" s="1"/>
      <c r="H14" s="1"/>
      <c r="I14" s="1"/>
      <c r="J14" s="1" t="s">
        <v>53</v>
      </c>
      <c r="K14" s="24" t="s">
        <v>46</v>
      </c>
      <c r="L14" s="1" t="str">
        <f t="shared" si="1"/>
        <v>#REF!</v>
      </c>
      <c r="M14" s="1" t="str">
        <f t="shared" si="2"/>
        <v>#REF!</v>
      </c>
      <c r="N14" s="1" t="str">
        <f t="shared" si="3"/>
        <v>#REF!</v>
      </c>
    </row>
    <row r="15" hidden="1">
      <c r="A15" s="17" t="s">
        <v>130</v>
      </c>
      <c r="B15" s="23" t="s">
        <v>91</v>
      </c>
      <c r="C15" s="26">
        <v>5000.0</v>
      </c>
      <c r="D15" s="1"/>
      <c r="E15" s="34"/>
      <c r="F15" s="1"/>
      <c r="G15" s="1"/>
      <c r="H15" s="1"/>
      <c r="I15" s="1"/>
      <c r="J15" s="1" t="s">
        <v>53</v>
      </c>
      <c r="K15" s="24" t="s">
        <v>46</v>
      </c>
      <c r="L15" s="1" t="str">
        <f t="shared" si="1"/>
        <v>#REF!</v>
      </c>
      <c r="M15" s="1" t="str">
        <f t="shared" si="2"/>
        <v>#REF!</v>
      </c>
      <c r="N15" s="1" t="str">
        <f t="shared" si="3"/>
        <v>#REF!</v>
      </c>
    </row>
    <row r="16">
      <c r="A16" s="17" t="s">
        <v>141</v>
      </c>
      <c r="B16" s="23" t="s">
        <v>142</v>
      </c>
      <c r="C16" s="26">
        <v>5000.0</v>
      </c>
      <c r="D16" s="1"/>
      <c r="E16" s="34"/>
      <c r="F16" s="1"/>
      <c r="G16" s="1"/>
      <c r="H16" s="1"/>
      <c r="I16" s="1"/>
      <c r="J16" s="1" t="s">
        <v>53</v>
      </c>
      <c r="K16" s="24" t="s">
        <v>46</v>
      </c>
      <c r="L16" s="1" t="str">
        <f t="shared" si="1"/>
        <v>#REF!</v>
      </c>
      <c r="M16" s="1" t="str">
        <f t="shared" si="2"/>
        <v>#REF!</v>
      </c>
      <c r="N16" s="1" t="str">
        <f t="shared" si="3"/>
        <v>#REF!</v>
      </c>
    </row>
    <row r="17" hidden="1">
      <c r="A17" s="17" t="s">
        <v>155</v>
      </c>
      <c r="B17" s="23" t="s">
        <v>156</v>
      </c>
      <c r="C17" s="26">
        <v>6000.0</v>
      </c>
      <c r="D17" s="1"/>
      <c r="E17" s="34"/>
      <c r="F17" s="1"/>
      <c r="G17" s="1"/>
      <c r="H17" s="1"/>
      <c r="I17" s="1"/>
      <c r="J17" s="1"/>
      <c r="K17" s="20" t="s">
        <v>37</v>
      </c>
      <c r="L17" s="1" t="str">
        <f t="shared" si="1"/>
        <v>#REF!</v>
      </c>
      <c r="M17" s="1" t="str">
        <f t="shared" si="2"/>
        <v>#REF!</v>
      </c>
      <c r="N17" s="1" t="str">
        <f t="shared" si="3"/>
        <v>#REF!</v>
      </c>
    </row>
    <row r="18" hidden="1">
      <c r="A18" s="17" t="s">
        <v>166</v>
      </c>
      <c r="B18" s="23" t="s">
        <v>168</v>
      </c>
      <c r="C18" s="26">
        <v>6000.0</v>
      </c>
      <c r="D18" s="1"/>
      <c r="E18" s="34"/>
      <c r="F18" s="1"/>
      <c r="G18" s="1"/>
      <c r="H18" s="1"/>
      <c r="I18" s="1"/>
      <c r="J18" s="1"/>
      <c r="K18" s="20" t="s">
        <v>37</v>
      </c>
      <c r="L18" s="1" t="str">
        <f t="shared" si="1"/>
        <v>#REF!</v>
      </c>
      <c r="M18" s="1" t="str">
        <f t="shared" si="2"/>
        <v>#REF!</v>
      </c>
      <c r="N18" s="1" t="str">
        <f t="shared" si="3"/>
        <v>#REF!</v>
      </c>
    </row>
    <row r="19" hidden="1">
      <c r="A19" s="17" t="s">
        <v>181</v>
      </c>
      <c r="B19" s="23" t="s">
        <v>140</v>
      </c>
      <c r="C19" s="26">
        <v>5000.0</v>
      </c>
      <c r="D19" s="1"/>
      <c r="E19" s="34"/>
      <c r="F19" s="1"/>
      <c r="G19" s="1"/>
      <c r="H19" s="1"/>
      <c r="I19" s="26">
        <v>2000.0</v>
      </c>
      <c r="J19" s="1"/>
      <c r="K19" s="14" t="s">
        <v>24</v>
      </c>
      <c r="L19" s="1" t="str">
        <f t="shared" si="1"/>
        <v>#REF!</v>
      </c>
      <c r="M19" s="1" t="str">
        <f t="shared" si="2"/>
        <v>#REF!</v>
      </c>
      <c r="N19" s="1" t="str">
        <f t="shared" si="3"/>
        <v>#REF!</v>
      </c>
    </row>
    <row r="20" hidden="1">
      <c r="A20" s="17" t="s">
        <v>195</v>
      </c>
      <c r="B20" s="23" t="s">
        <v>198</v>
      </c>
      <c r="C20" s="26">
        <v>5000.0</v>
      </c>
      <c r="D20" s="1"/>
      <c r="E20" s="34"/>
      <c r="F20" s="1"/>
      <c r="G20" s="1"/>
      <c r="H20" s="1"/>
      <c r="I20" s="26">
        <v>2000.0</v>
      </c>
      <c r="J20" s="1"/>
      <c r="K20" s="14" t="s">
        <v>24</v>
      </c>
      <c r="L20" s="1" t="str">
        <f t="shared" si="1"/>
        <v>#REF!</v>
      </c>
      <c r="M20" s="1" t="str">
        <f t="shared" si="2"/>
        <v>#REF!</v>
      </c>
      <c r="N20" s="1" t="str">
        <f t="shared" si="3"/>
        <v>#REF!</v>
      </c>
    </row>
    <row r="21" ht="15.75" hidden="1" customHeight="1">
      <c r="A21" s="17" t="s">
        <v>211</v>
      </c>
      <c r="B21" s="23" t="s">
        <v>144</v>
      </c>
      <c r="C21" s="26">
        <v>5000.0</v>
      </c>
      <c r="D21" s="1"/>
      <c r="E21" s="34"/>
      <c r="F21" s="1"/>
      <c r="G21" s="1"/>
      <c r="H21" s="1"/>
      <c r="I21" s="26">
        <v>2000.0</v>
      </c>
      <c r="J21" s="1"/>
      <c r="K21" s="14" t="s">
        <v>24</v>
      </c>
      <c r="L21" s="1" t="str">
        <f t="shared" si="1"/>
        <v>#REF!</v>
      </c>
      <c r="M21" s="1" t="str">
        <f t="shared" si="2"/>
        <v>#REF!</v>
      </c>
      <c r="N21" s="1" t="str">
        <f t="shared" si="3"/>
        <v>#REF!</v>
      </c>
    </row>
    <row r="22" ht="15.75" hidden="1" customHeight="1">
      <c r="A22" s="17" t="s">
        <v>227</v>
      </c>
      <c r="B22" s="23" t="s">
        <v>229</v>
      </c>
      <c r="C22" s="26">
        <v>5000.0</v>
      </c>
      <c r="D22" s="1"/>
      <c r="E22" s="34"/>
      <c r="F22" s="1"/>
      <c r="G22" s="1"/>
      <c r="H22" s="1"/>
      <c r="I22" s="26">
        <v>2000.0</v>
      </c>
      <c r="J22" s="1"/>
      <c r="K22" s="14" t="s">
        <v>24</v>
      </c>
      <c r="L22" s="1" t="str">
        <f t="shared" si="1"/>
        <v>#REF!</v>
      </c>
      <c r="M22" s="1" t="str">
        <f t="shared" si="2"/>
        <v>#REF!</v>
      </c>
      <c r="N22" s="1" t="str">
        <f t="shared" si="3"/>
        <v>#REF!</v>
      </c>
    </row>
    <row r="23" ht="15.75" hidden="1" customHeight="1">
      <c r="A23" s="17" t="s">
        <v>246</v>
      </c>
      <c r="B23" s="23" t="s">
        <v>87</v>
      </c>
      <c r="C23" s="26">
        <v>5000.0</v>
      </c>
      <c r="D23" s="1"/>
      <c r="E23" s="34"/>
      <c r="F23" s="1"/>
      <c r="G23" s="1"/>
      <c r="H23" s="1"/>
      <c r="I23" s="26">
        <v>2000.0</v>
      </c>
      <c r="J23" s="1"/>
      <c r="K23" s="14" t="s">
        <v>24</v>
      </c>
      <c r="L23" s="1" t="str">
        <f t="shared" si="1"/>
        <v>#REF!</v>
      </c>
      <c r="M23" s="1" t="str">
        <f t="shared" si="2"/>
        <v>#REF!</v>
      </c>
      <c r="N23" s="1" t="str">
        <f t="shared" si="3"/>
        <v>#REF!</v>
      </c>
    </row>
    <row r="24" ht="15.75" hidden="1" customHeight="1">
      <c r="A24" s="17" t="s">
        <v>259</v>
      </c>
      <c r="B24" s="23" t="s">
        <v>262</v>
      </c>
      <c r="C24" s="26">
        <v>5000.0</v>
      </c>
      <c r="D24" s="1"/>
      <c r="E24" s="34"/>
      <c r="F24" s="1"/>
      <c r="G24" s="1"/>
      <c r="H24" s="1"/>
      <c r="I24" s="26">
        <v>2000.0</v>
      </c>
      <c r="J24" s="1"/>
      <c r="K24" s="14" t="s">
        <v>24</v>
      </c>
      <c r="L24" s="1" t="str">
        <f t="shared" si="1"/>
        <v>#REF!</v>
      </c>
      <c r="M24" s="1" t="str">
        <f t="shared" si="2"/>
        <v>#REF!</v>
      </c>
      <c r="N24" s="1" t="str">
        <f t="shared" si="3"/>
        <v>#REF!</v>
      </c>
    </row>
    <row r="25" ht="15.75" hidden="1" customHeight="1">
      <c r="A25" s="17" t="s">
        <v>275</v>
      </c>
      <c r="B25" s="23" t="s">
        <v>276</v>
      </c>
      <c r="C25" s="26">
        <v>5000.0</v>
      </c>
      <c r="D25" s="1"/>
      <c r="E25" s="34"/>
      <c r="F25" s="1"/>
      <c r="G25" s="1"/>
      <c r="H25" s="1"/>
      <c r="I25" s="26">
        <v>2000.0</v>
      </c>
      <c r="J25" s="1"/>
      <c r="K25" s="14" t="s">
        <v>24</v>
      </c>
      <c r="L25" s="1" t="str">
        <f t="shared" si="1"/>
        <v>#REF!</v>
      </c>
      <c r="M25" s="1" t="str">
        <f t="shared" si="2"/>
        <v>#REF!</v>
      </c>
      <c r="N25" s="1" t="str">
        <f t="shared" si="3"/>
        <v>#REF!</v>
      </c>
    </row>
    <row r="26" ht="15.75" hidden="1" customHeight="1">
      <c r="A26" s="17" t="s">
        <v>289</v>
      </c>
      <c r="B26" s="23" t="s">
        <v>279</v>
      </c>
      <c r="C26" s="26">
        <v>5000.0</v>
      </c>
      <c r="D26" s="1"/>
      <c r="E26" s="34"/>
      <c r="F26" s="1"/>
      <c r="G26" s="1"/>
      <c r="H26" s="1"/>
      <c r="I26" s="26">
        <v>2000.0</v>
      </c>
      <c r="J26" s="1"/>
      <c r="K26" s="14" t="s">
        <v>24</v>
      </c>
      <c r="L26" s="1" t="str">
        <f t="shared" si="1"/>
        <v>#REF!</v>
      </c>
      <c r="M26" s="1" t="str">
        <f t="shared" si="2"/>
        <v>#REF!</v>
      </c>
      <c r="N26" s="1" t="str">
        <f t="shared" si="3"/>
        <v>#REF!</v>
      </c>
    </row>
    <row r="27" ht="15.75" hidden="1" customHeight="1">
      <c r="A27" s="17" t="s">
        <v>301</v>
      </c>
      <c r="B27" s="23" t="s">
        <v>151</v>
      </c>
      <c r="C27" s="26">
        <v>5000.0</v>
      </c>
      <c r="D27" s="1"/>
      <c r="E27" s="34"/>
      <c r="F27" s="1"/>
      <c r="G27" s="1"/>
      <c r="H27" s="1"/>
      <c r="I27" s="26">
        <v>2000.0</v>
      </c>
      <c r="J27" s="1"/>
      <c r="K27" s="14" t="s">
        <v>24</v>
      </c>
      <c r="L27" s="1" t="str">
        <f t="shared" si="1"/>
        <v>#REF!</v>
      </c>
      <c r="M27" s="1" t="str">
        <f t="shared" si="2"/>
        <v>#REF!</v>
      </c>
      <c r="N27" s="1" t="str">
        <f t="shared" si="3"/>
        <v>#REF!</v>
      </c>
    </row>
    <row r="28" ht="15.75" hidden="1" customHeight="1">
      <c r="A28" s="17" t="s">
        <v>316</v>
      </c>
      <c r="B28" s="23" t="s">
        <v>319</v>
      </c>
      <c r="C28" s="26">
        <v>5000.0</v>
      </c>
      <c r="D28" s="1"/>
      <c r="E28" s="34"/>
      <c r="F28" s="1"/>
      <c r="G28" s="1"/>
      <c r="H28" s="1"/>
      <c r="I28" s="26">
        <v>2000.0</v>
      </c>
      <c r="J28" s="1"/>
      <c r="K28" s="14" t="s">
        <v>24</v>
      </c>
      <c r="L28" s="1" t="str">
        <f t="shared" si="1"/>
        <v>#REF!</v>
      </c>
      <c r="M28" s="1" t="str">
        <f t="shared" si="2"/>
        <v>#REF!</v>
      </c>
      <c r="N28" s="1" t="str">
        <f t="shared" si="3"/>
        <v>#REF!</v>
      </c>
    </row>
    <row r="29" ht="15.75" hidden="1" customHeight="1">
      <c r="A29" s="17" t="s">
        <v>329</v>
      </c>
      <c r="B29" s="23" t="s">
        <v>330</v>
      </c>
      <c r="C29" s="26">
        <v>5000.0</v>
      </c>
      <c r="D29" s="1"/>
      <c r="E29" s="34"/>
      <c r="F29" s="1"/>
      <c r="G29" s="1"/>
      <c r="H29" s="1"/>
      <c r="I29" s="26">
        <v>2000.0</v>
      </c>
      <c r="J29" s="1"/>
      <c r="K29" s="14" t="s">
        <v>24</v>
      </c>
      <c r="L29" s="1" t="str">
        <f t="shared" si="1"/>
        <v>#REF!</v>
      </c>
      <c r="M29" s="1" t="str">
        <f t="shared" si="2"/>
        <v>#REF!</v>
      </c>
      <c r="N29" s="1" t="str">
        <f t="shared" si="3"/>
        <v>#REF!</v>
      </c>
    </row>
    <row r="30" ht="15.75" hidden="1" customHeight="1">
      <c r="A30" s="17" t="s">
        <v>339</v>
      </c>
      <c r="B30" s="23" t="s">
        <v>232</v>
      </c>
      <c r="C30" s="26">
        <v>5000.0</v>
      </c>
      <c r="D30" s="1"/>
      <c r="E30" s="34"/>
      <c r="F30" s="1"/>
      <c r="G30" s="1"/>
      <c r="H30" s="1"/>
      <c r="I30" s="26">
        <v>2000.0</v>
      </c>
      <c r="J30" s="1"/>
      <c r="K30" s="14" t="s">
        <v>24</v>
      </c>
      <c r="L30" s="1" t="str">
        <f t="shared" si="1"/>
        <v>#REF!</v>
      </c>
      <c r="M30" s="1" t="str">
        <f t="shared" si="2"/>
        <v>#REF!</v>
      </c>
      <c r="N30" s="1" t="str">
        <f t="shared" si="3"/>
        <v>#REF!</v>
      </c>
    </row>
    <row r="31" ht="15.75" hidden="1" customHeight="1">
      <c r="A31" s="17" t="s">
        <v>349</v>
      </c>
      <c r="B31" s="23" t="s">
        <v>351</v>
      </c>
      <c r="C31" s="26">
        <v>5000.0</v>
      </c>
      <c r="D31" s="1"/>
      <c r="E31" s="34"/>
      <c r="F31" s="1"/>
      <c r="G31" s="1"/>
      <c r="H31" s="1"/>
      <c r="I31" s="26">
        <v>2000.0</v>
      </c>
      <c r="J31" s="1"/>
      <c r="K31" s="14" t="s">
        <v>24</v>
      </c>
      <c r="L31" s="1" t="str">
        <f t="shared" si="1"/>
        <v>#REF!</v>
      </c>
      <c r="M31" s="1" t="str">
        <f t="shared" si="2"/>
        <v>#REF!</v>
      </c>
      <c r="N31" s="1" t="str">
        <f t="shared" si="3"/>
        <v>#REF!</v>
      </c>
    </row>
    <row r="32" ht="15.75" hidden="1" customHeight="1">
      <c r="A32" s="17" t="s">
        <v>360</v>
      </c>
      <c r="B32" s="23" t="s">
        <v>363</v>
      </c>
      <c r="C32" s="26">
        <v>5000.0</v>
      </c>
      <c r="D32" s="1"/>
      <c r="E32" s="34"/>
      <c r="F32" s="1"/>
      <c r="G32" s="1"/>
      <c r="H32" s="1"/>
      <c r="I32" s="26">
        <v>2000.0</v>
      </c>
      <c r="J32" s="1"/>
      <c r="K32" s="14" t="s">
        <v>24</v>
      </c>
      <c r="L32" s="1" t="str">
        <f t="shared" si="1"/>
        <v>#REF!</v>
      </c>
      <c r="M32" s="1" t="str">
        <f t="shared" si="2"/>
        <v>#REF!</v>
      </c>
      <c r="N32" s="1" t="str">
        <f t="shared" si="3"/>
        <v>#REF!</v>
      </c>
    </row>
    <row r="33" ht="15.75" hidden="1" customHeight="1">
      <c r="A33" s="17" t="s">
        <v>378</v>
      </c>
      <c r="B33" s="23" t="s">
        <v>380</v>
      </c>
      <c r="C33" s="26">
        <v>5000.0</v>
      </c>
      <c r="D33" s="1"/>
      <c r="E33" s="34"/>
      <c r="F33" s="1"/>
      <c r="G33" s="1"/>
      <c r="H33" s="1"/>
      <c r="I33" s="26">
        <v>2000.0</v>
      </c>
      <c r="J33" s="1"/>
      <c r="K33" s="14" t="s">
        <v>24</v>
      </c>
      <c r="L33" s="1" t="str">
        <f t="shared" si="1"/>
        <v>#REF!</v>
      </c>
      <c r="M33" s="1" t="str">
        <f t="shared" si="2"/>
        <v>#REF!</v>
      </c>
      <c r="N33" s="1" t="str">
        <f t="shared" si="3"/>
        <v>#REF!</v>
      </c>
    </row>
    <row r="34" ht="15.75" hidden="1" customHeight="1">
      <c r="A34" s="17" t="s">
        <v>390</v>
      </c>
      <c r="B34" s="23" t="s">
        <v>392</v>
      </c>
      <c r="C34" s="26">
        <v>5000.0</v>
      </c>
      <c r="D34" s="1"/>
      <c r="E34" s="34"/>
      <c r="F34" s="1"/>
      <c r="G34" s="1"/>
      <c r="H34" s="1"/>
      <c r="I34" s="26">
        <v>2000.0</v>
      </c>
      <c r="J34" s="1"/>
      <c r="K34" s="14" t="s">
        <v>24</v>
      </c>
      <c r="L34" s="1" t="str">
        <f t="shared" si="1"/>
        <v>#REF!</v>
      </c>
      <c r="M34" s="1" t="str">
        <f t="shared" si="2"/>
        <v>#REF!</v>
      </c>
      <c r="N34" s="1" t="str">
        <f t="shared" si="3"/>
        <v>#REF!</v>
      </c>
    </row>
    <row r="35" ht="15.75" hidden="1" customHeight="1">
      <c r="A35" s="17" t="s">
        <v>402</v>
      </c>
      <c r="B35" s="23" t="s">
        <v>403</v>
      </c>
      <c r="C35" s="26">
        <v>5000.0</v>
      </c>
      <c r="D35" s="1"/>
      <c r="E35" s="34"/>
      <c r="F35" s="1"/>
      <c r="G35" s="1"/>
      <c r="H35" s="1"/>
      <c r="I35" s="26">
        <v>2000.0</v>
      </c>
      <c r="J35" s="1"/>
      <c r="K35" s="14" t="s">
        <v>24</v>
      </c>
      <c r="L35" s="1" t="str">
        <f t="shared" si="1"/>
        <v>#REF!</v>
      </c>
      <c r="M35" s="1" t="str">
        <f t="shared" si="2"/>
        <v>#REF!</v>
      </c>
      <c r="N35" s="1" t="str">
        <f t="shared" si="3"/>
        <v>#REF!</v>
      </c>
    </row>
    <row r="36" ht="15.75" hidden="1" customHeight="1">
      <c r="A36" s="17" t="s">
        <v>415</v>
      </c>
      <c r="B36" s="23" t="s">
        <v>417</v>
      </c>
      <c r="C36" s="26">
        <v>5000.0</v>
      </c>
      <c r="D36" s="1"/>
      <c r="E36" s="34"/>
      <c r="F36" s="1"/>
      <c r="G36" s="1"/>
      <c r="H36" s="1"/>
      <c r="I36" s="26">
        <v>2000.0</v>
      </c>
      <c r="J36" s="1"/>
      <c r="K36" s="14" t="s">
        <v>24</v>
      </c>
      <c r="L36" s="1" t="str">
        <f t="shared" si="1"/>
        <v>#REF!</v>
      </c>
      <c r="M36" s="1" t="str">
        <f t="shared" si="2"/>
        <v>#REF!</v>
      </c>
      <c r="N36" s="1" t="str">
        <f t="shared" si="3"/>
        <v>#REF!</v>
      </c>
    </row>
    <row r="37" ht="15.75" hidden="1" customHeight="1">
      <c r="A37" s="17" t="s">
        <v>430</v>
      </c>
      <c r="B37" s="23" t="s">
        <v>432</v>
      </c>
      <c r="C37" s="26">
        <v>5000.0</v>
      </c>
      <c r="D37" s="1"/>
      <c r="E37" s="34"/>
      <c r="F37" s="1"/>
      <c r="G37" s="1"/>
      <c r="H37" s="1"/>
      <c r="I37" s="26">
        <v>0.0</v>
      </c>
      <c r="J37" s="1"/>
      <c r="K37" s="14" t="s">
        <v>24</v>
      </c>
      <c r="L37" s="1" t="str">
        <f t="shared" si="1"/>
        <v>#REF!</v>
      </c>
      <c r="M37" s="1" t="str">
        <f t="shared" si="2"/>
        <v>#REF!</v>
      </c>
      <c r="N37" s="1" t="str">
        <f t="shared" si="3"/>
        <v>#REF!</v>
      </c>
    </row>
    <row r="38" ht="15.75" hidden="1" customHeight="1">
      <c r="A38" s="17" t="s">
        <v>443</v>
      </c>
      <c r="B38" s="23" t="s">
        <v>445</v>
      </c>
      <c r="C38" s="26">
        <v>5000.0</v>
      </c>
      <c r="D38" s="1"/>
      <c r="E38" s="34"/>
      <c r="F38" s="1"/>
      <c r="G38" s="1"/>
      <c r="H38" s="1"/>
      <c r="I38" s="26">
        <v>0.0</v>
      </c>
      <c r="J38" s="1"/>
      <c r="K38" s="14" t="s">
        <v>24</v>
      </c>
      <c r="L38" s="1" t="str">
        <f t="shared" si="1"/>
        <v>#REF!</v>
      </c>
      <c r="M38" s="1" t="str">
        <f t="shared" si="2"/>
        <v>#REF!</v>
      </c>
      <c r="N38" s="1" t="str">
        <f t="shared" si="3"/>
        <v>#REF!</v>
      </c>
    </row>
    <row r="39" ht="15.75" hidden="1" customHeight="1">
      <c r="A39" s="17" t="s">
        <v>462</v>
      </c>
      <c r="B39" s="23" t="s">
        <v>463</v>
      </c>
      <c r="C39" s="26">
        <v>5000.0</v>
      </c>
      <c r="D39" s="1"/>
      <c r="E39" s="34"/>
      <c r="F39" s="1"/>
      <c r="G39" s="1"/>
      <c r="H39" s="1"/>
      <c r="I39" s="26">
        <v>2000.0</v>
      </c>
      <c r="J39" s="1"/>
      <c r="K39" s="14" t="s">
        <v>24</v>
      </c>
      <c r="L39" s="1" t="str">
        <f t="shared" si="1"/>
        <v>#REF!</v>
      </c>
      <c r="M39" s="1" t="str">
        <f t="shared" si="2"/>
        <v>#REF!</v>
      </c>
      <c r="N39" s="1" t="str">
        <f t="shared" si="3"/>
        <v>#REF!</v>
      </c>
    </row>
    <row r="40" ht="15.75" hidden="1" customHeight="1">
      <c r="A40" s="17" t="s">
        <v>478</v>
      </c>
      <c r="B40" s="23" t="s">
        <v>481</v>
      </c>
      <c r="C40" s="26">
        <v>5000.0</v>
      </c>
      <c r="D40" s="1"/>
      <c r="E40" s="34"/>
      <c r="F40" s="1"/>
      <c r="G40" s="1"/>
      <c r="H40" s="1"/>
      <c r="I40" s="26">
        <v>2000.0</v>
      </c>
      <c r="J40" s="1"/>
      <c r="K40" s="14" t="s">
        <v>24</v>
      </c>
      <c r="L40" s="1" t="str">
        <f t="shared" si="1"/>
        <v>#REF!</v>
      </c>
      <c r="M40" s="1" t="str">
        <f t="shared" si="2"/>
        <v>#REF!</v>
      </c>
      <c r="N40" s="1" t="str">
        <f t="shared" si="3"/>
        <v>#REF!</v>
      </c>
    </row>
    <row r="41" ht="15.75" hidden="1" customHeight="1">
      <c r="A41" s="17" t="s">
        <v>489</v>
      </c>
      <c r="B41" s="23" t="s">
        <v>492</v>
      </c>
      <c r="C41" s="26">
        <v>5000.0</v>
      </c>
      <c r="D41" s="1"/>
      <c r="E41" s="34"/>
      <c r="F41" s="1"/>
      <c r="G41" s="1"/>
      <c r="H41" s="1"/>
      <c r="I41" s="26">
        <v>2000.0</v>
      </c>
      <c r="J41" s="1"/>
      <c r="K41" s="14" t="s">
        <v>24</v>
      </c>
      <c r="L41" s="1" t="str">
        <f t="shared" si="1"/>
        <v>#REF!</v>
      </c>
      <c r="M41" s="1" t="str">
        <f t="shared" si="2"/>
        <v>#REF!</v>
      </c>
      <c r="N41" s="1" t="str">
        <f t="shared" si="3"/>
        <v>#REF!</v>
      </c>
    </row>
    <row r="42" ht="15.75" hidden="1" customHeight="1">
      <c r="A42" s="17" t="s">
        <v>507</v>
      </c>
      <c r="B42" s="23" t="s">
        <v>509</v>
      </c>
      <c r="C42" s="26">
        <v>5000.0</v>
      </c>
      <c r="D42" s="1"/>
      <c r="E42" s="34"/>
      <c r="F42" s="1"/>
      <c r="G42" s="1"/>
      <c r="H42" s="1"/>
      <c r="I42" s="26">
        <v>2000.0</v>
      </c>
      <c r="J42" s="1"/>
      <c r="K42" s="14" t="s">
        <v>24</v>
      </c>
      <c r="L42" s="1" t="str">
        <f t="shared" si="1"/>
        <v>#REF!</v>
      </c>
      <c r="M42" s="1" t="str">
        <f t="shared" si="2"/>
        <v>#REF!</v>
      </c>
      <c r="N42" s="1" t="str">
        <f t="shared" si="3"/>
        <v>#REF!</v>
      </c>
    </row>
    <row r="43" ht="15.75" hidden="1" customHeight="1">
      <c r="A43" s="17" t="s">
        <v>520</v>
      </c>
      <c r="B43" s="23" t="s">
        <v>522</v>
      </c>
      <c r="C43" s="26">
        <v>5000.0</v>
      </c>
      <c r="D43" s="1"/>
      <c r="E43" s="34"/>
      <c r="F43" s="1"/>
      <c r="G43" s="1"/>
      <c r="H43" s="1"/>
      <c r="I43" s="26">
        <v>2000.0</v>
      </c>
      <c r="J43" s="1"/>
      <c r="K43" s="14" t="s">
        <v>24</v>
      </c>
      <c r="L43" s="1" t="str">
        <f t="shared" si="1"/>
        <v>#REF!</v>
      </c>
      <c r="M43" s="1" t="str">
        <f t="shared" si="2"/>
        <v>#REF!</v>
      </c>
      <c r="N43" s="1" t="str">
        <f t="shared" si="3"/>
        <v>#REF!</v>
      </c>
    </row>
    <row r="44" ht="15.75" hidden="1" customHeight="1">
      <c r="A44" s="17" t="s">
        <v>547</v>
      </c>
      <c r="B44" s="23" t="s">
        <v>550</v>
      </c>
      <c r="C44" s="26">
        <v>5000.0</v>
      </c>
      <c r="D44" s="1"/>
      <c r="E44" s="34"/>
      <c r="F44" s="1"/>
      <c r="G44" s="1"/>
      <c r="H44" s="1"/>
      <c r="I44" s="26">
        <v>2000.0</v>
      </c>
      <c r="J44" s="1"/>
      <c r="K44" s="14" t="s">
        <v>24</v>
      </c>
      <c r="L44" s="1" t="str">
        <f t="shared" si="1"/>
        <v>#REF!</v>
      </c>
      <c r="M44" s="1" t="str">
        <f t="shared" si="2"/>
        <v>#REF!</v>
      </c>
      <c r="N44" s="1" t="str">
        <f t="shared" si="3"/>
        <v>#REF!</v>
      </c>
    </row>
    <row r="45" ht="15.75" hidden="1" customHeight="1">
      <c r="A45" s="17" t="s">
        <v>580</v>
      </c>
      <c r="B45" s="23" t="s">
        <v>584</v>
      </c>
      <c r="C45" s="26">
        <v>5000.0</v>
      </c>
      <c r="D45" s="1"/>
      <c r="E45" s="34"/>
      <c r="F45" s="1"/>
      <c r="G45" s="1"/>
      <c r="H45" s="1"/>
      <c r="I45" s="26">
        <v>2000.0</v>
      </c>
      <c r="J45" s="1"/>
      <c r="K45" s="14" t="s">
        <v>24</v>
      </c>
      <c r="L45" s="1" t="str">
        <f t="shared" si="1"/>
        <v>#REF!</v>
      </c>
      <c r="M45" s="1" t="str">
        <f t="shared" si="2"/>
        <v>#REF!</v>
      </c>
      <c r="N45" s="1" t="str">
        <f t="shared" si="3"/>
        <v>#REF!</v>
      </c>
    </row>
    <row r="46" ht="15.75" hidden="1" customHeight="1">
      <c r="A46" s="17" t="s">
        <v>601</v>
      </c>
      <c r="B46" s="23" t="s">
        <v>310</v>
      </c>
      <c r="C46" s="26">
        <v>5000.0</v>
      </c>
      <c r="D46" s="1"/>
      <c r="E46" s="34"/>
      <c r="F46" s="1"/>
      <c r="G46" s="1"/>
      <c r="H46" s="1"/>
      <c r="I46" s="26">
        <v>2000.0</v>
      </c>
      <c r="J46" s="1"/>
      <c r="K46" s="14" t="s">
        <v>24</v>
      </c>
      <c r="L46" s="1" t="str">
        <f t="shared" si="1"/>
        <v>#REF!</v>
      </c>
      <c r="M46" s="1" t="str">
        <f t="shared" si="2"/>
        <v>#REF!</v>
      </c>
      <c r="N46" s="1" t="str">
        <f t="shared" si="3"/>
        <v>#REF!</v>
      </c>
    </row>
    <row r="47" ht="15.75" hidden="1" customHeight="1">
      <c r="A47" s="17" t="s">
        <v>614</v>
      </c>
      <c r="B47" s="23" t="s">
        <v>460</v>
      </c>
      <c r="C47" s="26">
        <v>5000.0</v>
      </c>
      <c r="D47" s="1"/>
      <c r="E47" s="34"/>
      <c r="F47" s="1"/>
      <c r="G47" s="1"/>
      <c r="H47" s="1"/>
      <c r="I47" s="26">
        <v>2000.0</v>
      </c>
      <c r="J47" s="1"/>
      <c r="K47" s="14" t="s">
        <v>24</v>
      </c>
      <c r="L47" s="1" t="str">
        <f t="shared" si="1"/>
        <v>#REF!</v>
      </c>
      <c r="M47" s="1" t="str">
        <f t="shared" si="2"/>
        <v>#REF!</v>
      </c>
      <c r="N47" s="1" t="str">
        <f t="shared" si="3"/>
        <v>#REF!</v>
      </c>
    </row>
    <row r="48" ht="15.75" hidden="1" customHeight="1">
      <c r="A48" s="17" t="s">
        <v>624</v>
      </c>
      <c r="B48" s="23" t="s">
        <v>626</v>
      </c>
      <c r="C48" s="26">
        <v>5000.0</v>
      </c>
      <c r="D48" s="1"/>
      <c r="E48" s="34"/>
      <c r="F48" s="1"/>
      <c r="G48" s="1"/>
      <c r="H48" s="1"/>
      <c r="I48" s="26">
        <v>2000.0</v>
      </c>
      <c r="J48" s="1"/>
      <c r="K48" s="14" t="s">
        <v>24</v>
      </c>
      <c r="L48" s="1" t="str">
        <f t="shared" si="1"/>
        <v>#REF!</v>
      </c>
      <c r="M48" s="1" t="str">
        <f t="shared" si="2"/>
        <v>#REF!</v>
      </c>
      <c r="N48" s="1" t="str">
        <f t="shared" si="3"/>
        <v>#REF!</v>
      </c>
    </row>
    <row r="49" ht="15.75" hidden="1" customHeight="1">
      <c r="A49" s="17" t="s">
        <v>635</v>
      </c>
      <c r="B49" s="23" t="s">
        <v>285</v>
      </c>
      <c r="C49" s="26">
        <v>5000.0</v>
      </c>
      <c r="D49" s="1"/>
      <c r="E49" s="34"/>
      <c r="F49" s="1"/>
      <c r="G49" s="1"/>
      <c r="H49" s="1"/>
      <c r="I49" s="26">
        <v>2000.0</v>
      </c>
      <c r="J49" s="1"/>
      <c r="K49" s="14" t="s">
        <v>24</v>
      </c>
      <c r="L49" s="1" t="str">
        <f t="shared" si="1"/>
        <v>#REF!</v>
      </c>
      <c r="M49" s="1" t="str">
        <f t="shared" si="2"/>
        <v>#REF!</v>
      </c>
      <c r="N49" s="1" t="str">
        <f t="shared" si="3"/>
        <v>#REF!</v>
      </c>
    </row>
    <row r="50" ht="15.75" hidden="1" customHeight="1">
      <c r="A50" s="17" t="s">
        <v>650</v>
      </c>
      <c r="B50" s="23" t="s">
        <v>655</v>
      </c>
      <c r="C50" s="26">
        <v>5000.0</v>
      </c>
      <c r="D50" s="1"/>
      <c r="E50" s="34"/>
      <c r="F50" s="1"/>
      <c r="G50" s="1"/>
      <c r="H50" s="1"/>
      <c r="I50" s="26">
        <v>2000.0</v>
      </c>
      <c r="J50" s="1"/>
      <c r="K50" s="14" t="s">
        <v>24</v>
      </c>
      <c r="L50" s="1" t="str">
        <f t="shared" si="1"/>
        <v>#REF!</v>
      </c>
      <c r="M50" s="1" t="str">
        <f t="shared" si="2"/>
        <v>#REF!</v>
      </c>
      <c r="N50" s="1" t="str">
        <f t="shared" si="3"/>
        <v>#REF!</v>
      </c>
    </row>
    <row r="51" ht="15.75" hidden="1" customHeight="1">
      <c r="A51" s="17" t="s">
        <v>666</v>
      </c>
      <c r="B51" s="23" t="s">
        <v>356</v>
      </c>
      <c r="C51" s="26">
        <v>5000.0</v>
      </c>
      <c r="D51" s="1"/>
      <c r="E51" s="34"/>
      <c r="F51" s="1"/>
      <c r="G51" s="1"/>
      <c r="H51" s="1"/>
      <c r="I51" s="26">
        <v>2000.0</v>
      </c>
      <c r="J51" s="1"/>
      <c r="K51" s="14" t="s">
        <v>24</v>
      </c>
      <c r="L51" s="1" t="str">
        <f t="shared" si="1"/>
        <v>#REF!</v>
      </c>
      <c r="M51" s="1" t="str">
        <f t="shared" si="2"/>
        <v>#REF!</v>
      </c>
      <c r="N51" s="1" t="str">
        <f t="shared" si="3"/>
        <v>#REF!</v>
      </c>
    </row>
    <row r="52" ht="15.75" hidden="1" customHeight="1">
      <c r="A52" s="17" t="s">
        <v>678</v>
      </c>
      <c r="B52" s="23" t="s">
        <v>680</v>
      </c>
      <c r="C52" s="26">
        <v>5000.0</v>
      </c>
      <c r="D52" s="1"/>
      <c r="E52" s="34"/>
      <c r="F52" s="1"/>
      <c r="G52" s="1"/>
      <c r="H52" s="1"/>
      <c r="I52" s="26">
        <v>2000.0</v>
      </c>
      <c r="J52" s="1"/>
      <c r="K52" s="14" t="s">
        <v>24</v>
      </c>
      <c r="L52" s="1" t="str">
        <f t="shared" si="1"/>
        <v>#REF!</v>
      </c>
      <c r="M52" s="1" t="str">
        <f t="shared" si="2"/>
        <v>#REF!</v>
      </c>
      <c r="N52" s="1" t="str">
        <f t="shared" si="3"/>
        <v>#REF!</v>
      </c>
    </row>
    <row r="53" ht="15.75" hidden="1" customHeight="1">
      <c r="A53" s="17" t="s">
        <v>690</v>
      </c>
      <c r="B53" s="23" t="s">
        <v>691</v>
      </c>
      <c r="C53" s="26">
        <v>5000.0</v>
      </c>
      <c r="D53" s="1"/>
      <c r="E53" s="34"/>
      <c r="F53" s="1"/>
      <c r="G53" s="1"/>
      <c r="H53" s="1"/>
      <c r="I53" s="26">
        <v>2000.0</v>
      </c>
      <c r="J53" s="1"/>
      <c r="K53" s="14" t="s">
        <v>24</v>
      </c>
      <c r="L53" s="1" t="str">
        <f t="shared" si="1"/>
        <v>#REF!</v>
      </c>
      <c r="M53" s="1" t="str">
        <f t="shared" si="2"/>
        <v>#REF!</v>
      </c>
      <c r="N53" s="1" t="str">
        <f t="shared" si="3"/>
        <v>#REF!</v>
      </c>
    </row>
    <row r="54" ht="15.75" hidden="1" customHeight="1">
      <c r="A54" s="17" t="s">
        <v>704</v>
      </c>
      <c r="B54" s="23" t="s">
        <v>191</v>
      </c>
      <c r="C54" s="26">
        <v>5000.0</v>
      </c>
      <c r="D54" s="1"/>
      <c r="E54" s="34"/>
      <c r="F54" s="1"/>
      <c r="G54" s="1"/>
      <c r="H54" s="1"/>
      <c r="I54" s="26">
        <v>2000.0</v>
      </c>
      <c r="J54" s="1"/>
      <c r="K54" s="14" t="s">
        <v>24</v>
      </c>
      <c r="L54" s="1" t="str">
        <f t="shared" si="1"/>
        <v>#REF!</v>
      </c>
      <c r="M54" s="1" t="str">
        <f t="shared" si="2"/>
        <v>#REF!</v>
      </c>
      <c r="N54" s="1" t="str">
        <f t="shared" si="3"/>
        <v>#REF!</v>
      </c>
    </row>
    <row r="55" ht="15.75" hidden="1" customHeight="1">
      <c r="A55" s="17" t="s">
        <v>715</v>
      </c>
      <c r="B55" s="23" t="s">
        <v>676</v>
      </c>
      <c r="C55" s="26">
        <v>5000.0</v>
      </c>
      <c r="D55" s="1"/>
      <c r="E55" s="34"/>
      <c r="F55" s="1"/>
      <c r="G55" s="1"/>
      <c r="H55" s="1"/>
      <c r="I55" s="26">
        <v>2000.0</v>
      </c>
      <c r="J55" s="1"/>
      <c r="K55" s="14" t="s">
        <v>24</v>
      </c>
      <c r="L55" s="1" t="str">
        <f t="shared" si="1"/>
        <v>#REF!</v>
      </c>
      <c r="M55" s="1" t="str">
        <f t="shared" si="2"/>
        <v>#REF!</v>
      </c>
      <c r="N55" s="1" t="str">
        <f t="shared" si="3"/>
        <v>#REF!</v>
      </c>
    </row>
    <row r="56" ht="15.75" hidden="1" customHeight="1">
      <c r="A56" s="17" t="s">
        <v>725</v>
      </c>
      <c r="B56" s="23" t="s">
        <v>117</v>
      </c>
      <c r="C56" s="26">
        <v>5000.0</v>
      </c>
      <c r="D56" s="1"/>
      <c r="E56" s="34"/>
      <c r="F56" s="1"/>
      <c r="G56" s="1"/>
      <c r="H56" s="1"/>
      <c r="I56" s="26">
        <v>2000.0</v>
      </c>
      <c r="J56" s="1"/>
      <c r="K56" s="14" t="s">
        <v>24</v>
      </c>
      <c r="L56" s="1" t="str">
        <f t="shared" si="1"/>
        <v>#REF!</v>
      </c>
      <c r="M56" s="1" t="str">
        <f t="shared" si="2"/>
        <v>#REF!</v>
      </c>
      <c r="N56" s="1" t="str">
        <f t="shared" si="3"/>
        <v>#REF!</v>
      </c>
    </row>
    <row r="57" ht="15.75" hidden="1" customHeight="1">
      <c r="A57" s="17" t="s">
        <v>735</v>
      </c>
      <c r="B57" s="23" t="s">
        <v>251</v>
      </c>
      <c r="C57" s="26">
        <v>5000.0</v>
      </c>
      <c r="D57" s="1"/>
      <c r="E57" s="34"/>
      <c r="F57" s="1"/>
      <c r="G57" s="1"/>
      <c r="H57" s="1"/>
      <c r="I57" s="26">
        <v>2000.0</v>
      </c>
      <c r="J57" s="1"/>
      <c r="K57" s="14" t="s">
        <v>24</v>
      </c>
      <c r="L57" s="1" t="str">
        <f t="shared" si="1"/>
        <v>#REF!</v>
      </c>
      <c r="M57" s="1" t="str">
        <f t="shared" si="2"/>
        <v>#REF!</v>
      </c>
      <c r="N57" s="1" t="str">
        <f t="shared" si="3"/>
        <v>#REF!</v>
      </c>
    </row>
    <row r="58" ht="15.75" hidden="1" customHeight="1">
      <c r="A58" s="17" t="s">
        <v>750</v>
      </c>
      <c r="B58" s="23" t="s">
        <v>263</v>
      </c>
      <c r="C58" s="26">
        <v>5000.0</v>
      </c>
      <c r="D58" s="1"/>
      <c r="E58" s="34"/>
      <c r="F58" s="1"/>
      <c r="G58" s="1"/>
      <c r="H58" s="1"/>
      <c r="I58" s="26">
        <v>2000.0</v>
      </c>
      <c r="J58" s="1"/>
      <c r="K58" s="14" t="s">
        <v>24</v>
      </c>
      <c r="L58" s="1" t="str">
        <f t="shared" si="1"/>
        <v>#REF!</v>
      </c>
      <c r="M58" s="1" t="str">
        <f t="shared" si="2"/>
        <v>#REF!</v>
      </c>
      <c r="N58" s="1" t="str">
        <f t="shared" si="3"/>
        <v>#REF!</v>
      </c>
    </row>
    <row r="59" ht="15.75" hidden="1" customHeight="1">
      <c r="A59" s="17" t="s">
        <v>757</v>
      </c>
      <c r="B59" s="23" t="s">
        <v>748</v>
      </c>
      <c r="C59" s="26">
        <v>5000.0</v>
      </c>
      <c r="D59" s="1"/>
      <c r="E59" s="34"/>
      <c r="F59" s="1"/>
      <c r="G59" s="1"/>
      <c r="H59" s="1"/>
      <c r="I59" s="26">
        <v>2000.0</v>
      </c>
      <c r="J59" s="1"/>
      <c r="K59" s="14" t="s">
        <v>24</v>
      </c>
      <c r="L59" s="1" t="str">
        <f t="shared" si="1"/>
        <v>#REF!</v>
      </c>
      <c r="M59" s="1" t="str">
        <f t="shared" si="2"/>
        <v>#REF!</v>
      </c>
      <c r="N59" s="1" t="str">
        <f t="shared" si="3"/>
        <v>#REF!</v>
      </c>
    </row>
    <row r="60" ht="15.75" hidden="1" customHeight="1">
      <c r="A60" s="17" t="s">
        <v>767</v>
      </c>
      <c r="B60" s="23" t="s">
        <v>505</v>
      </c>
      <c r="C60" s="26">
        <v>5000.0</v>
      </c>
      <c r="D60" s="1"/>
      <c r="E60" s="34"/>
      <c r="F60" s="1"/>
      <c r="G60" s="1"/>
      <c r="H60" s="1"/>
      <c r="I60" s="26">
        <v>2000.0</v>
      </c>
      <c r="J60" s="1"/>
      <c r="K60" s="14" t="s">
        <v>24</v>
      </c>
      <c r="L60" s="1" t="str">
        <f t="shared" si="1"/>
        <v>#REF!</v>
      </c>
      <c r="M60" s="1" t="str">
        <f t="shared" si="2"/>
        <v>#REF!</v>
      </c>
      <c r="N60" s="1" t="str">
        <f t="shared" si="3"/>
        <v>#REF!</v>
      </c>
    </row>
    <row r="61" ht="15.75" hidden="1" customHeight="1">
      <c r="A61" s="17" t="s">
        <v>780</v>
      </c>
      <c r="B61" s="23" t="s">
        <v>783</v>
      </c>
      <c r="C61" s="26">
        <v>5000.0</v>
      </c>
      <c r="D61" s="1"/>
      <c r="E61" s="34"/>
      <c r="F61" s="1"/>
      <c r="G61" s="1"/>
      <c r="H61" s="1"/>
      <c r="I61" s="26">
        <v>2000.0</v>
      </c>
      <c r="J61" s="1"/>
      <c r="K61" s="14" t="s">
        <v>24</v>
      </c>
      <c r="L61" s="1" t="str">
        <f t="shared" si="1"/>
        <v>#REF!</v>
      </c>
      <c r="M61" s="1" t="str">
        <f t="shared" si="2"/>
        <v>#REF!</v>
      </c>
      <c r="N61" s="1" t="str">
        <f t="shared" si="3"/>
        <v>#REF!</v>
      </c>
    </row>
    <row r="62" ht="15.75" hidden="1" customHeight="1">
      <c r="A62" s="17" t="s">
        <v>789</v>
      </c>
      <c r="B62" s="23" t="s">
        <v>791</v>
      </c>
      <c r="C62" s="26">
        <v>5000.0</v>
      </c>
      <c r="D62" s="1"/>
      <c r="E62" s="34"/>
      <c r="F62" s="1"/>
      <c r="G62" s="1"/>
      <c r="H62" s="1"/>
      <c r="I62" s="26">
        <v>2000.0</v>
      </c>
      <c r="J62" s="1"/>
      <c r="K62" s="14" t="s">
        <v>24</v>
      </c>
      <c r="L62" s="1" t="str">
        <f t="shared" si="1"/>
        <v>#REF!</v>
      </c>
      <c r="M62" s="1" t="str">
        <f t="shared" si="2"/>
        <v>#REF!</v>
      </c>
      <c r="N62" s="1" t="str">
        <f t="shared" si="3"/>
        <v>#REF!</v>
      </c>
    </row>
    <row r="63" ht="15.75" hidden="1" customHeight="1">
      <c r="A63" s="17" t="s">
        <v>800</v>
      </c>
      <c r="B63" s="23" t="s">
        <v>802</v>
      </c>
      <c r="C63" s="26">
        <v>5000.0</v>
      </c>
      <c r="D63" s="1"/>
      <c r="E63" s="34"/>
      <c r="F63" s="1"/>
      <c r="G63" s="1"/>
      <c r="H63" s="1"/>
      <c r="I63" s="26">
        <v>2000.0</v>
      </c>
      <c r="J63" s="1"/>
      <c r="K63" s="14" t="s">
        <v>24</v>
      </c>
      <c r="L63" s="1" t="str">
        <f t="shared" si="1"/>
        <v>#REF!</v>
      </c>
      <c r="M63" s="1" t="str">
        <f t="shared" si="2"/>
        <v>#REF!</v>
      </c>
      <c r="N63" s="1" t="str">
        <f t="shared" si="3"/>
        <v>#REF!</v>
      </c>
    </row>
    <row r="64" ht="15.75" hidden="1" customHeight="1">
      <c r="A64" s="17" t="s">
        <v>819</v>
      </c>
      <c r="B64" s="23" t="s">
        <v>822</v>
      </c>
      <c r="C64" s="26">
        <v>5000.0</v>
      </c>
      <c r="D64" s="1"/>
      <c r="E64" s="34"/>
      <c r="F64" s="1"/>
      <c r="G64" s="1"/>
      <c r="H64" s="1"/>
      <c r="I64" s="26">
        <v>2000.0</v>
      </c>
      <c r="J64" s="1"/>
      <c r="K64" s="14" t="s">
        <v>24</v>
      </c>
      <c r="L64" s="1" t="str">
        <f t="shared" si="1"/>
        <v>#REF!</v>
      </c>
      <c r="M64" s="1" t="str">
        <f t="shared" si="2"/>
        <v>#REF!</v>
      </c>
      <c r="N64" s="1" t="str">
        <f t="shared" si="3"/>
        <v>#REF!</v>
      </c>
    </row>
    <row r="65" ht="15.75" hidden="1" customHeight="1">
      <c r="A65" s="17" t="s">
        <v>832</v>
      </c>
      <c r="B65" s="23" t="s">
        <v>835</v>
      </c>
      <c r="C65" s="26">
        <v>5000.0</v>
      </c>
      <c r="D65" s="1"/>
      <c r="E65" s="34"/>
      <c r="F65" s="1"/>
      <c r="G65" s="1"/>
      <c r="H65" s="1"/>
      <c r="I65" s="26">
        <v>2000.0</v>
      </c>
      <c r="J65" s="1"/>
      <c r="K65" s="14" t="s">
        <v>24</v>
      </c>
      <c r="L65" s="1" t="str">
        <f t="shared" si="1"/>
        <v>#REF!</v>
      </c>
      <c r="M65" s="1" t="str">
        <f t="shared" si="2"/>
        <v>#REF!</v>
      </c>
      <c r="N65" s="1" t="str">
        <f t="shared" si="3"/>
        <v>#REF!</v>
      </c>
    </row>
    <row r="66" ht="15.75" hidden="1" customHeight="1">
      <c r="A66" s="17" t="s">
        <v>848</v>
      </c>
      <c r="B66" s="23" t="s">
        <v>851</v>
      </c>
      <c r="C66" s="26">
        <v>5000.0</v>
      </c>
      <c r="D66" s="1"/>
      <c r="E66" s="34"/>
      <c r="F66" s="1"/>
      <c r="G66" s="1"/>
      <c r="H66" s="1"/>
      <c r="I66" s="26">
        <v>2000.0</v>
      </c>
      <c r="J66" s="1"/>
      <c r="K66" s="14" t="s">
        <v>24</v>
      </c>
      <c r="L66" s="1" t="str">
        <f t="shared" si="1"/>
        <v>#REF!</v>
      </c>
      <c r="M66" s="1" t="str">
        <f t="shared" si="2"/>
        <v>#REF!</v>
      </c>
      <c r="N66" s="1" t="str">
        <f t="shared" si="3"/>
        <v>#REF!</v>
      </c>
    </row>
    <row r="67" ht="15.75" hidden="1" customHeight="1">
      <c r="A67" s="17" t="s">
        <v>869</v>
      </c>
      <c r="B67" s="23" t="s">
        <v>242</v>
      </c>
      <c r="C67" s="26">
        <v>5000.0</v>
      </c>
      <c r="D67" s="1"/>
      <c r="E67" s="34"/>
      <c r="F67" s="1"/>
      <c r="G67" s="1"/>
      <c r="H67" s="1"/>
      <c r="I67" s="26">
        <v>2000.0</v>
      </c>
      <c r="J67" s="1"/>
      <c r="K67" s="14" t="s">
        <v>24</v>
      </c>
      <c r="L67" s="1" t="str">
        <f t="shared" si="1"/>
        <v>#REF!</v>
      </c>
      <c r="M67" s="1" t="str">
        <f t="shared" si="2"/>
        <v>#REF!</v>
      </c>
      <c r="N67" s="1" t="str">
        <f t="shared" si="3"/>
        <v>#REF!</v>
      </c>
    </row>
    <row r="68" ht="15.75" hidden="1" customHeight="1">
      <c r="A68" s="17" t="s">
        <v>892</v>
      </c>
      <c r="B68" s="23" t="s">
        <v>450</v>
      </c>
      <c r="C68" s="26">
        <v>5000.0</v>
      </c>
      <c r="D68" s="1"/>
      <c r="E68" s="34"/>
      <c r="F68" s="1"/>
      <c r="G68" s="1"/>
      <c r="H68" s="1"/>
      <c r="I68" s="26">
        <v>2000.0</v>
      </c>
      <c r="J68" s="1"/>
      <c r="K68" s="14" t="s">
        <v>24</v>
      </c>
      <c r="L68" s="1" t="str">
        <f t="shared" si="1"/>
        <v>#REF!</v>
      </c>
      <c r="M68" s="1" t="str">
        <f t="shared" si="2"/>
        <v>#REF!</v>
      </c>
      <c r="N68" s="1" t="str">
        <f t="shared" si="3"/>
        <v>#REF!</v>
      </c>
    </row>
    <row r="69" ht="15.75" hidden="1" customHeight="1">
      <c r="A69" s="17" t="s">
        <v>914</v>
      </c>
      <c r="B69" s="23" t="s">
        <v>915</v>
      </c>
      <c r="C69" s="26">
        <v>5000.0</v>
      </c>
      <c r="D69" s="1"/>
      <c r="E69" s="34"/>
      <c r="F69" s="1"/>
      <c r="G69" s="1"/>
      <c r="H69" s="1"/>
      <c r="I69" s="26">
        <v>2000.0</v>
      </c>
      <c r="J69" s="1"/>
      <c r="K69" s="14" t="s">
        <v>24</v>
      </c>
      <c r="L69" s="1" t="str">
        <f t="shared" si="1"/>
        <v>#REF!</v>
      </c>
      <c r="M69" s="1" t="str">
        <f t="shared" si="2"/>
        <v>#REF!</v>
      </c>
      <c r="N69" s="1" t="str">
        <f t="shared" si="3"/>
        <v>#REF!</v>
      </c>
    </row>
    <row r="70" ht="15.75" hidden="1" customHeight="1">
      <c r="A70" s="17" t="s">
        <v>927</v>
      </c>
      <c r="B70" s="23" t="s">
        <v>928</v>
      </c>
      <c r="C70" s="26">
        <v>5000.0</v>
      </c>
      <c r="D70" s="1"/>
      <c r="E70" s="34"/>
      <c r="F70" s="1"/>
      <c r="G70" s="1"/>
      <c r="H70" s="1"/>
      <c r="I70" s="26">
        <v>2000.0</v>
      </c>
      <c r="J70" s="1"/>
      <c r="K70" s="14" t="s">
        <v>24</v>
      </c>
      <c r="L70" s="1" t="str">
        <f t="shared" si="1"/>
        <v>#REF!</v>
      </c>
      <c r="M70" s="1" t="str">
        <f t="shared" si="2"/>
        <v>#REF!</v>
      </c>
      <c r="N70" s="1" t="str">
        <f t="shared" si="3"/>
        <v>#REF!</v>
      </c>
    </row>
    <row r="71" ht="15.75" hidden="1" customHeight="1">
      <c r="A71" s="17" t="s">
        <v>941</v>
      </c>
      <c r="B71" s="23" t="s">
        <v>943</v>
      </c>
      <c r="C71" s="26">
        <v>5000.0</v>
      </c>
      <c r="D71" s="1"/>
      <c r="E71" s="34"/>
      <c r="F71" s="1"/>
      <c r="G71" s="1"/>
      <c r="H71" s="1"/>
      <c r="I71" s="26">
        <v>2000.0</v>
      </c>
      <c r="J71" s="1"/>
      <c r="K71" s="14" t="s">
        <v>24</v>
      </c>
      <c r="L71" s="1" t="str">
        <f t="shared" si="1"/>
        <v>#REF!</v>
      </c>
      <c r="M71" s="1" t="str">
        <f t="shared" si="2"/>
        <v>#REF!</v>
      </c>
      <c r="N71" s="1" t="str">
        <f t="shared" si="3"/>
        <v>#REF!</v>
      </c>
    </row>
    <row r="72" ht="15.75" hidden="1" customHeight="1">
      <c r="A72" s="17" t="s">
        <v>955</v>
      </c>
      <c r="B72" s="23" t="s">
        <v>957</v>
      </c>
      <c r="C72" s="26">
        <v>5000.0</v>
      </c>
      <c r="D72" s="1"/>
      <c r="E72" s="34"/>
      <c r="F72" s="1"/>
      <c r="G72" s="1"/>
      <c r="H72" s="1"/>
      <c r="I72" s="26">
        <v>2000.0</v>
      </c>
      <c r="J72" s="1"/>
      <c r="K72" s="14" t="s">
        <v>24</v>
      </c>
      <c r="L72" s="1" t="str">
        <f t="shared" si="1"/>
        <v>#REF!</v>
      </c>
      <c r="M72" s="1" t="str">
        <f t="shared" si="2"/>
        <v>#REF!</v>
      </c>
      <c r="N72" s="1" t="str">
        <f t="shared" si="3"/>
        <v>#REF!</v>
      </c>
    </row>
    <row r="73" ht="15.75" hidden="1" customHeight="1">
      <c r="A73" s="17" t="s">
        <v>962</v>
      </c>
      <c r="B73" s="23" t="s">
        <v>897</v>
      </c>
      <c r="C73" s="26">
        <v>5000.0</v>
      </c>
      <c r="D73" s="1"/>
      <c r="E73" s="34"/>
      <c r="F73" s="1"/>
      <c r="G73" s="1"/>
      <c r="H73" s="1"/>
      <c r="I73" s="26">
        <v>2000.0</v>
      </c>
      <c r="J73" s="1"/>
      <c r="K73" s="14" t="s">
        <v>24</v>
      </c>
      <c r="L73" s="1" t="str">
        <f t="shared" si="1"/>
        <v>#REF!</v>
      </c>
      <c r="M73" s="1" t="str">
        <f t="shared" si="2"/>
        <v>#REF!</v>
      </c>
      <c r="N73" s="1" t="str">
        <f t="shared" si="3"/>
        <v>#REF!</v>
      </c>
    </row>
    <row r="74" ht="15.75" hidden="1" customHeight="1">
      <c r="A74" s="17" t="s">
        <v>970</v>
      </c>
      <c r="B74" s="23" t="s">
        <v>543</v>
      </c>
      <c r="C74" s="26">
        <v>5000.0</v>
      </c>
      <c r="D74" s="1"/>
      <c r="E74" s="34"/>
      <c r="F74" s="1"/>
      <c r="G74" s="1"/>
      <c r="H74" s="1"/>
      <c r="I74" s="26">
        <v>2000.0</v>
      </c>
      <c r="J74" s="1"/>
      <c r="K74" s="14" t="s">
        <v>24</v>
      </c>
      <c r="L74" s="1" t="str">
        <f t="shared" si="1"/>
        <v>#REF!</v>
      </c>
      <c r="M74" s="1" t="str">
        <f t="shared" si="2"/>
        <v>#REF!</v>
      </c>
      <c r="N74" s="1" t="str">
        <f t="shared" si="3"/>
        <v>#REF!</v>
      </c>
    </row>
    <row r="75" ht="15.75" hidden="1" customHeight="1">
      <c r="A75" s="17" t="s">
        <v>980</v>
      </c>
      <c r="B75" s="23" t="s">
        <v>983</v>
      </c>
      <c r="C75" s="26">
        <v>5000.0</v>
      </c>
      <c r="D75" s="1"/>
      <c r="E75" s="34"/>
      <c r="F75" s="1"/>
      <c r="G75" s="1"/>
      <c r="H75" s="1"/>
      <c r="I75" s="26">
        <v>2000.0</v>
      </c>
      <c r="J75" s="1"/>
      <c r="K75" s="14" t="s">
        <v>24</v>
      </c>
      <c r="L75" s="1" t="str">
        <f t="shared" si="1"/>
        <v>#REF!</v>
      </c>
      <c r="M75" s="1" t="str">
        <f t="shared" si="2"/>
        <v>#REF!</v>
      </c>
      <c r="N75" s="1" t="str">
        <f t="shared" si="3"/>
        <v>#REF!</v>
      </c>
    </row>
    <row r="76" ht="15.75" hidden="1" customHeight="1">
      <c r="A76" s="17" t="s">
        <v>992</v>
      </c>
      <c r="B76" s="23" t="s">
        <v>312</v>
      </c>
      <c r="C76" s="26">
        <v>5000.0</v>
      </c>
      <c r="D76" s="1"/>
      <c r="E76" s="34"/>
      <c r="F76" s="1"/>
      <c r="G76" s="1"/>
      <c r="H76" s="1"/>
      <c r="I76" s="26">
        <v>2000.0</v>
      </c>
      <c r="J76" s="1"/>
      <c r="K76" s="14" t="s">
        <v>24</v>
      </c>
      <c r="L76" s="1" t="str">
        <f t="shared" si="1"/>
        <v>#REF!</v>
      </c>
      <c r="M76" s="1" t="str">
        <f t="shared" si="2"/>
        <v>#REF!</v>
      </c>
      <c r="N76" s="1" t="str">
        <f t="shared" si="3"/>
        <v>#REF!</v>
      </c>
    </row>
    <row r="77" ht="15.75" hidden="1" customHeight="1">
      <c r="A77" s="17" t="s">
        <v>1001</v>
      </c>
      <c r="B77" s="23" t="s">
        <v>1002</v>
      </c>
      <c r="C77" s="26">
        <v>5000.0</v>
      </c>
      <c r="D77" s="1"/>
      <c r="E77" s="34"/>
      <c r="F77" s="1"/>
      <c r="G77" s="1"/>
      <c r="H77" s="1"/>
      <c r="I77" s="26">
        <v>2000.0</v>
      </c>
      <c r="J77" s="1"/>
      <c r="K77" s="14" t="s">
        <v>24</v>
      </c>
      <c r="L77" s="1" t="str">
        <f t="shared" si="1"/>
        <v>#REF!</v>
      </c>
      <c r="M77" s="1" t="str">
        <f t="shared" si="2"/>
        <v>#REF!</v>
      </c>
      <c r="N77" s="1" t="str">
        <f t="shared" si="3"/>
        <v>#REF!</v>
      </c>
    </row>
    <row r="78" ht="15.75" hidden="1" customHeight="1">
      <c r="A78" s="17" t="s">
        <v>1015</v>
      </c>
      <c r="B78" s="23" t="s">
        <v>1016</v>
      </c>
      <c r="C78" s="26">
        <v>5000.0</v>
      </c>
      <c r="D78" s="1"/>
      <c r="E78" s="34"/>
      <c r="F78" s="1"/>
      <c r="G78" s="1"/>
      <c r="H78" s="1"/>
      <c r="I78" s="26">
        <v>2000.0</v>
      </c>
      <c r="J78" s="1"/>
      <c r="K78" s="14" t="s">
        <v>24</v>
      </c>
      <c r="L78" s="1" t="str">
        <f t="shared" si="1"/>
        <v>#REF!</v>
      </c>
      <c r="M78" s="1" t="str">
        <f t="shared" si="2"/>
        <v>#REF!</v>
      </c>
      <c r="N78" s="1" t="str">
        <f t="shared" si="3"/>
        <v>#REF!</v>
      </c>
    </row>
    <row r="79" ht="15.75" hidden="1" customHeight="1">
      <c r="A79" s="17" t="s">
        <v>1025</v>
      </c>
      <c r="B79" s="23" t="s">
        <v>610</v>
      </c>
      <c r="C79" s="26">
        <v>2500.0</v>
      </c>
      <c r="D79" s="1"/>
      <c r="E79" s="34"/>
      <c r="F79" s="1"/>
      <c r="G79" s="1"/>
      <c r="H79" s="1"/>
      <c r="I79" s="26">
        <v>2000.0</v>
      </c>
      <c r="J79" s="1" t="s">
        <v>53</v>
      </c>
      <c r="K79" s="14" t="s">
        <v>24</v>
      </c>
      <c r="L79" s="1" t="str">
        <f t="shared" si="1"/>
        <v>#REF!</v>
      </c>
      <c r="M79" s="1" t="str">
        <f t="shared" si="2"/>
        <v>#REF!</v>
      </c>
      <c r="N79" s="1" t="str">
        <f t="shared" si="3"/>
        <v>#REF!</v>
      </c>
    </row>
    <row r="80" ht="15.75" hidden="1" customHeight="1">
      <c r="A80" s="17" t="s">
        <v>1032</v>
      </c>
      <c r="B80" s="23" t="s">
        <v>772</v>
      </c>
      <c r="C80" s="26">
        <v>5000.0</v>
      </c>
      <c r="D80" s="1"/>
      <c r="E80" s="34"/>
      <c r="F80" s="1"/>
      <c r="G80" s="1"/>
      <c r="H80" s="1"/>
      <c r="I80" s="26">
        <v>2000.0</v>
      </c>
      <c r="J80" s="1"/>
      <c r="K80" s="14" t="s">
        <v>24</v>
      </c>
      <c r="L80" s="1" t="str">
        <f t="shared" si="1"/>
        <v>#REF!</v>
      </c>
      <c r="M80" s="1" t="str">
        <f t="shared" si="2"/>
        <v>#REF!</v>
      </c>
      <c r="N80" s="1" t="str">
        <f t="shared" si="3"/>
        <v>#REF!</v>
      </c>
    </row>
    <row r="81" ht="15.75" hidden="1" customHeight="1">
      <c r="A81" s="17" t="s">
        <v>1038</v>
      </c>
      <c r="B81" s="23" t="s">
        <v>1040</v>
      </c>
      <c r="C81" s="26">
        <v>5000.0</v>
      </c>
      <c r="D81" s="1"/>
      <c r="E81" s="34"/>
      <c r="F81" s="1"/>
      <c r="G81" s="1"/>
      <c r="H81" s="1"/>
      <c r="I81" s="26">
        <v>0.0</v>
      </c>
      <c r="J81" s="1"/>
      <c r="K81" s="14" t="s">
        <v>24</v>
      </c>
      <c r="L81" s="1" t="str">
        <f t="shared" si="1"/>
        <v>#REF!</v>
      </c>
      <c r="M81" s="1" t="str">
        <f t="shared" si="2"/>
        <v>#REF!</v>
      </c>
      <c r="N81" s="1" t="str">
        <f t="shared" si="3"/>
        <v>#REF!</v>
      </c>
    </row>
    <row r="82" ht="15.75" hidden="1" customHeight="1">
      <c r="A82" s="17" t="s">
        <v>1044</v>
      </c>
      <c r="B82" s="23" t="s">
        <v>1046</v>
      </c>
      <c r="C82" s="26">
        <v>5000.0</v>
      </c>
      <c r="D82" s="1"/>
      <c r="E82" s="34"/>
      <c r="F82" s="1"/>
      <c r="G82" s="1"/>
      <c r="H82" s="1"/>
      <c r="I82" s="26">
        <v>2000.0</v>
      </c>
      <c r="J82" s="1"/>
      <c r="K82" s="14" t="s">
        <v>24</v>
      </c>
      <c r="L82" s="1" t="str">
        <f t="shared" si="1"/>
        <v>#REF!</v>
      </c>
      <c r="M82" s="1" t="str">
        <f t="shared" si="2"/>
        <v>#REF!</v>
      </c>
      <c r="N82" s="1" t="str">
        <f t="shared" si="3"/>
        <v>#REF!</v>
      </c>
    </row>
    <row r="83" ht="15.75" hidden="1" customHeight="1">
      <c r="A83" s="17" t="s">
        <v>1053</v>
      </c>
      <c r="B83" s="23" t="s">
        <v>111</v>
      </c>
      <c r="C83" s="26">
        <v>5000.0</v>
      </c>
      <c r="D83" s="1"/>
      <c r="E83" s="34"/>
      <c r="F83" s="1"/>
      <c r="G83" s="1"/>
      <c r="H83" s="1"/>
      <c r="I83" s="26">
        <v>2000.0</v>
      </c>
      <c r="J83" s="1"/>
      <c r="K83" s="14" t="s">
        <v>24</v>
      </c>
      <c r="L83" s="1" t="str">
        <f t="shared" si="1"/>
        <v>#REF!</v>
      </c>
      <c r="M83" s="1" t="str">
        <f t="shared" si="2"/>
        <v>#REF!</v>
      </c>
      <c r="N83" s="1" t="str">
        <f t="shared" si="3"/>
        <v>#REF!</v>
      </c>
    </row>
    <row r="84" ht="15.75" hidden="1" customHeight="1">
      <c r="A84" s="17" t="s">
        <v>1065</v>
      </c>
      <c r="B84" s="23" t="s">
        <v>327</v>
      </c>
      <c r="C84" s="26">
        <v>5000.0</v>
      </c>
      <c r="D84" s="1"/>
      <c r="E84" s="34"/>
      <c r="F84" s="1"/>
      <c r="G84" s="1"/>
      <c r="H84" s="1"/>
      <c r="I84" s="26">
        <v>2000.0</v>
      </c>
      <c r="J84" s="1"/>
      <c r="K84" s="14" t="s">
        <v>24</v>
      </c>
      <c r="L84" s="1" t="str">
        <f t="shared" si="1"/>
        <v>#REF!</v>
      </c>
      <c r="M84" s="1" t="str">
        <f t="shared" si="2"/>
        <v>#REF!</v>
      </c>
      <c r="N84" s="1" t="str">
        <f t="shared" si="3"/>
        <v>#REF!</v>
      </c>
    </row>
    <row r="85" ht="15.75" hidden="1" customHeight="1">
      <c r="A85" s="17" t="s">
        <v>1078</v>
      </c>
      <c r="B85" s="23" t="s">
        <v>861</v>
      </c>
      <c r="C85" s="26">
        <v>5000.0</v>
      </c>
      <c r="D85" s="1"/>
      <c r="E85" s="34"/>
      <c r="F85" s="1"/>
      <c r="G85" s="1"/>
      <c r="H85" s="1"/>
      <c r="I85" s="26">
        <v>2000.0</v>
      </c>
      <c r="J85" s="1"/>
      <c r="K85" s="14" t="s">
        <v>24</v>
      </c>
      <c r="L85" s="1" t="str">
        <f t="shared" si="1"/>
        <v>#REF!</v>
      </c>
      <c r="M85" s="1" t="str">
        <f t="shared" si="2"/>
        <v>#REF!</v>
      </c>
      <c r="N85" s="1" t="str">
        <f t="shared" si="3"/>
        <v>#REF!</v>
      </c>
    </row>
    <row r="86" ht="15.75" hidden="1" customHeight="1">
      <c r="A86" s="17" t="s">
        <v>1103</v>
      </c>
      <c r="B86" s="23" t="s">
        <v>633</v>
      </c>
      <c r="C86" s="26">
        <v>5000.0</v>
      </c>
      <c r="D86" s="1"/>
      <c r="E86" s="34"/>
      <c r="F86" s="1"/>
      <c r="G86" s="1"/>
      <c r="H86" s="1"/>
      <c r="I86" s="26">
        <v>2000.0</v>
      </c>
      <c r="J86" s="1"/>
      <c r="K86" s="14" t="s">
        <v>24</v>
      </c>
      <c r="L86" s="1" t="str">
        <f t="shared" si="1"/>
        <v>#REF!</v>
      </c>
      <c r="M86" s="1" t="str">
        <f t="shared" si="2"/>
        <v>#REF!</v>
      </c>
      <c r="N86" s="1" t="str">
        <f t="shared" si="3"/>
        <v>#REF!</v>
      </c>
    </row>
    <row r="87" ht="15.75" hidden="1" customHeight="1">
      <c r="A87" s="17" t="s">
        <v>1116</v>
      </c>
      <c r="B87" s="23" t="s">
        <v>658</v>
      </c>
      <c r="C87" s="26">
        <v>5000.0</v>
      </c>
      <c r="D87" s="1"/>
      <c r="E87" s="34"/>
      <c r="F87" s="1"/>
      <c r="G87" s="1"/>
      <c r="H87" s="1"/>
      <c r="I87" s="26">
        <v>2000.0</v>
      </c>
      <c r="J87" s="1"/>
      <c r="K87" s="14" t="s">
        <v>24</v>
      </c>
      <c r="L87" s="1" t="str">
        <f t="shared" si="1"/>
        <v>#REF!</v>
      </c>
      <c r="M87" s="1" t="str">
        <f t="shared" si="2"/>
        <v>#REF!</v>
      </c>
      <c r="N87" s="1" t="str">
        <f t="shared" si="3"/>
        <v>#REF!</v>
      </c>
    </row>
    <row r="88" ht="15.75" hidden="1" customHeight="1">
      <c r="A88" s="17" t="s">
        <v>1133</v>
      </c>
      <c r="B88" s="23" t="s">
        <v>1136</v>
      </c>
      <c r="C88" s="26">
        <v>5000.0</v>
      </c>
      <c r="D88" s="1"/>
      <c r="E88" s="34"/>
      <c r="F88" s="1"/>
      <c r="G88" s="1"/>
      <c r="H88" s="1"/>
      <c r="I88" s="26">
        <v>2000.0</v>
      </c>
      <c r="J88" s="1"/>
      <c r="K88" s="14" t="s">
        <v>24</v>
      </c>
      <c r="L88" s="1" t="str">
        <f t="shared" si="1"/>
        <v>#REF!</v>
      </c>
      <c r="M88" s="1" t="str">
        <f t="shared" si="2"/>
        <v>#REF!</v>
      </c>
      <c r="N88" s="1" t="str">
        <f t="shared" si="3"/>
        <v>#REF!</v>
      </c>
    </row>
    <row r="89" ht="15.75" hidden="1" customHeight="1">
      <c r="A89" s="17" t="s">
        <v>1143</v>
      </c>
      <c r="B89" s="23" t="s">
        <v>1145</v>
      </c>
      <c r="C89" s="26">
        <v>5000.0</v>
      </c>
      <c r="D89" s="1"/>
      <c r="E89" s="34"/>
      <c r="F89" s="1"/>
      <c r="G89" s="1"/>
      <c r="H89" s="1"/>
      <c r="I89" s="26">
        <v>2000.0</v>
      </c>
      <c r="J89" s="1"/>
      <c r="K89" s="14" t="s">
        <v>24</v>
      </c>
      <c r="L89" s="1" t="str">
        <f t="shared" si="1"/>
        <v>#REF!</v>
      </c>
      <c r="M89" s="1" t="str">
        <f t="shared" si="2"/>
        <v>#REF!</v>
      </c>
      <c r="N89" s="1" t="str">
        <f t="shared" si="3"/>
        <v>#REF!</v>
      </c>
    </row>
    <row r="90" ht="15.75" hidden="1" customHeight="1">
      <c r="A90" s="17" t="s">
        <v>1153</v>
      </c>
      <c r="B90" s="23" t="s">
        <v>562</v>
      </c>
      <c r="C90" s="26">
        <v>5000.0</v>
      </c>
      <c r="D90" s="1"/>
      <c r="E90" s="34"/>
      <c r="F90" s="1"/>
      <c r="G90" s="1"/>
      <c r="H90" s="1"/>
      <c r="I90" s="26">
        <v>2000.0</v>
      </c>
      <c r="J90" s="1"/>
      <c r="K90" s="14" t="s">
        <v>24</v>
      </c>
      <c r="L90" s="1" t="str">
        <f t="shared" si="1"/>
        <v>#REF!</v>
      </c>
      <c r="M90" s="1" t="str">
        <f t="shared" si="2"/>
        <v>#REF!</v>
      </c>
      <c r="N90" s="1" t="str">
        <f t="shared" si="3"/>
        <v>#REF!</v>
      </c>
    </row>
    <row r="91" ht="15.75" hidden="1" customHeight="1">
      <c r="A91" s="17" t="s">
        <v>1161</v>
      </c>
      <c r="B91" s="23" t="s">
        <v>157</v>
      </c>
      <c r="C91" s="26">
        <v>5000.0</v>
      </c>
      <c r="D91" s="1"/>
      <c r="E91" s="34"/>
      <c r="F91" s="1"/>
      <c r="G91" s="1"/>
      <c r="H91" s="1"/>
      <c r="I91" s="26">
        <v>2000.0</v>
      </c>
      <c r="J91" s="1"/>
      <c r="K91" s="14" t="s">
        <v>24</v>
      </c>
      <c r="L91" s="1" t="str">
        <f t="shared" si="1"/>
        <v>#REF!</v>
      </c>
      <c r="M91" s="1" t="str">
        <f t="shared" si="2"/>
        <v>#REF!</v>
      </c>
      <c r="N91" s="1" t="str">
        <f t="shared" si="3"/>
        <v>#REF!</v>
      </c>
    </row>
    <row r="92" ht="15.75" hidden="1" customHeight="1">
      <c r="A92" s="17" t="s">
        <v>1169</v>
      </c>
      <c r="B92" s="23" t="s">
        <v>733</v>
      </c>
      <c r="C92" s="26">
        <v>5000.0</v>
      </c>
      <c r="D92" s="1"/>
      <c r="E92" s="34"/>
      <c r="F92" s="1"/>
      <c r="G92" s="1"/>
      <c r="H92" s="1"/>
      <c r="I92" s="26">
        <v>2000.0</v>
      </c>
      <c r="J92" s="1"/>
      <c r="K92" s="14" t="s">
        <v>24</v>
      </c>
      <c r="L92" s="1" t="str">
        <f t="shared" si="1"/>
        <v>#REF!</v>
      </c>
      <c r="M92" s="1" t="str">
        <f t="shared" si="2"/>
        <v>#REF!</v>
      </c>
      <c r="N92" s="1" t="str">
        <f t="shared" si="3"/>
        <v>#REF!</v>
      </c>
    </row>
    <row r="93" ht="15.75" hidden="1" customHeight="1">
      <c r="A93" s="17" t="s">
        <v>1178</v>
      </c>
      <c r="B93" s="23" t="s">
        <v>1125</v>
      </c>
      <c r="C93" s="26">
        <v>5000.0</v>
      </c>
      <c r="D93" s="1"/>
      <c r="E93" s="34"/>
      <c r="F93" s="1"/>
      <c r="G93" s="1"/>
      <c r="H93" s="1"/>
      <c r="I93" s="26">
        <v>2000.0</v>
      </c>
      <c r="J93" s="1"/>
      <c r="K93" s="14" t="s">
        <v>24</v>
      </c>
      <c r="L93" s="1" t="str">
        <f t="shared" si="1"/>
        <v>#REF!</v>
      </c>
      <c r="M93" s="1" t="str">
        <f t="shared" si="2"/>
        <v>#REF!</v>
      </c>
      <c r="N93" s="1" t="str">
        <f t="shared" si="3"/>
        <v>#REF!</v>
      </c>
    </row>
    <row r="94" ht="15.75" hidden="1" customHeight="1">
      <c r="A94" s="17" t="s">
        <v>1188</v>
      </c>
      <c r="B94" s="23" t="s">
        <v>539</v>
      </c>
      <c r="C94" s="26">
        <v>5000.0</v>
      </c>
      <c r="D94" s="1"/>
      <c r="E94" s="34"/>
      <c r="F94" s="1"/>
      <c r="G94" s="1"/>
      <c r="H94" s="1"/>
      <c r="I94" s="26">
        <v>2000.0</v>
      </c>
      <c r="J94" s="1"/>
      <c r="K94" s="14" t="s">
        <v>24</v>
      </c>
      <c r="L94" s="1" t="str">
        <f t="shared" si="1"/>
        <v>#REF!</v>
      </c>
      <c r="M94" s="1" t="str">
        <f t="shared" si="2"/>
        <v>#REF!</v>
      </c>
      <c r="N94" s="1" t="str">
        <f t="shared" si="3"/>
        <v>#REF!</v>
      </c>
    </row>
    <row r="95" ht="15.75" hidden="1" customHeight="1">
      <c r="A95" s="17" t="s">
        <v>1195</v>
      </c>
      <c r="B95" s="23" t="s">
        <v>428</v>
      </c>
      <c r="C95" s="26">
        <v>5000.0</v>
      </c>
      <c r="D95" s="1"/>
      <c r="E95" s="34"/>
      <c r="F95" s="1"/>
      <c r="G95" s="1"/>
      <c r="H95" s="1"/>
      <c r="I95" s="26">
        <v>2000.0</v>
      </c>
      <c r="J95" s="1"/>
      <c r="K95" s="14" t="s">
        <v>24</v>
      </c>
      <c r="L95" s="1" t="str">
        <f t="shared" si="1"/>
        <v>#REF!</v>
      </c>
      <c r="M95" s="1" t="str">
        <f t="shared" si="2"/>
        <v>#REF!</v>
      </c>
      <c r="N95" s="1" t="str">
        <f t="shared" si="3"/>
        <v>#REF!</v>
      </c>
    </row>
    <row r="96" ht="15.75" hidden="1" customHeight="1">
      <c r="A96" s="17" t="s">
        <v>1203</v>
      </c>
      <c r="B96" s="23" t="s">
        <v>838</v>
      </c>
      <c r="C96" s="26">
        <v>5000.0</v>
      </c>
      <c r="D96" s="1"/>
      <c r="E96" s="34"/>
      <c r="F96" s="1"/>
      <c r="G96" s="1"/>
      <c r="H96" s="1"/>
      <c r="I96" s="26">
        <v>2000.0</v>
      </c>
      <c r="J96" s="1"/>
      <c r="K96" s="14" t="s">
        <v>24</v>
      </c>
      <c r="L96" s="1" t="str">
        <f t="shared" si="1"/>
        <v>#REF!</v>
      </c>
      <c r="M96" s="1" t="str">
        <f t="shared" si="2"/>
        <v>#REF!</v>
      </c>
      <c r="N96" s="1" t="str">
        <f t="shared" si="3"/>
        <v>#REF!</v>
      </c>
    </row>
    <row r="97" ht="15.75" hidden="1" customHeight="1">
      <c r="A97" s="17" t="s">
        <v>1214</v>
      </c>
      <c r="B97" s="23" t="s">
        <v>692</v>
      </c>
      <c r="C97" s="26">
        <v>5000.0</v>
      </c>
      <c r="D97" s="1"/>
      <c r="E97" s="34"/>
      <c r="F97" s="1"/>
      <c r="G97" s="1"/>
      <c r="H97" s="1"/>
      <c r="I97" s="26">
        <v>2000.0</v>
      </c>
      <c r="J97" s="1"/>
      <c r="K97" s="14" t="s">
        <v>24</v>
      </c>
      <c r="L97" s="1" t="str">
        <f t="shared" si="1"/>
        <v>#REF!</v>
      </c>
      <c r="M97" s="1" t="str">
        <f t="shared" si="2"/>
        <v>#REF!</v>
      </c>
      <c r="N97" s="1" t="str">
        <f t="shared" si="3"/>
        <v>#REF!</v>
      </c>
    </row>
    <row r="98" ht="15.75" hidden="1" customHeight="1">
      <c r="A98" s="17" t="s">
        <v>1224</v>
      </c>
      <c r="B98" s="23" t="s">
        <v>1226</v>
      </c>
      <c r="C98" s="26">
        <v>5000.0</v>
      </c>
      <c r="D98" s="1"/>
      <c r="E98" s="34"/>
      <c r="F98" s="1"/>
      <c r="G98" s="1"/>
      <c r="H98" s="1"/>
      <c r="I98" s="26">
        <v>2000.0</v>
      </c>
      <c r="J98" s="1"/>
      <c r="K98" s="14" t="s">
        <v>24</v>
      </c>
      <c r="L98" s="1" t="str">
        <f t="shared" si="1"/>
        <v>#REF!</v>
      </c>
      <c r="M98" s="1" t="str">
        <f t="shared" si="2"/>
        <v>#REF!</v>
      </c>
      <c r="N98" s="1" t="str">
        <f t="shared" si="3"/>
        <v>#REF!</v>
      </c>
    </row>
    <row r="99" ht="15.75" hidden="1" customHeight="1">
      <c r="A99" s="17" t="s">
        <v>1230</v>
      </c>
      <c r="B99" s="23" t="s">
        <v>801</v>
      </c>
      <c r="C99" s="26">
        <v>5000.0</v>
      </c>
      <c r="D99" s="1"/>
      <c r="E99" s="34"/>
      <c r="F99" s="1"/>
      <c r="G99" s="1"/>
      <c r="H99" s="1"/>
      <c r="I99" s="26">
        <v>2000.0</v>
      </c>
      <c r="J99" s="1"/>
      <c r="K99" s="14" t="s">
        <v>24</v>
      </c>
      <c r="L99" s="1" t="str">
        <f t="shared" si="1"/>
        <v>#REF!</v>
      </c>
      <c r="M99" s="1" t="str">
        <f t="shared" si="2"/>
        <v>#REF!</v>
      </c>
      <c r="N99" s="1" t="str">
        <f t="shared" si="3"/>
        <v>#REF!</v>
      </c>
    </row>
    <row r="100" ht="15.75" hidden="1" customHeight="1">
      <c r="A100" s="17" t="s">
        <v>1245</v>
      </c>
      <c r="B100" s="23" t="s">
        <v>1173</v>
      </c>
      <c r="C100" s="26">
        <v>5000.0</v>
      </c>
      <c r="D100" s="1"/>
      <c r="E100" s="34"/>
      <c r="F100" s="1"/>
      <c r="G100" s="1"/>
      <c r="H100" s="1"/>
      <c r="I100" s="26">
        <v>0.0</v>
      </c>
      <c r="J100" s="1"/>
      <c r="K100" s="14" t="s">
        <v>24</v>
      </c>
      <c r="L100" s="1" t="str">
        <f t="shared" si="1"/>
        <v>#REF!</v>
      </c>
      <c r="M100" s="1" t="str">
        <f t="shared" si="2"/>
        <v>#REF!</v>
      </c>
      <c r="N100" s="1" t="str">
        <f t="shared" si="3"/>
        <v>#REF!</v>
      </c>
    </row>
    <row r="101" ht="15.75" hidden="1" customHeight="1">
      <c r="A101" s="17" t="s">
        <v>1255</v>
      </c>
      <c r="B101" s="23" t="s">
        <v>89</v>
      </c>
      <c r="C101" s="26">
        <v>5000.0</v>
      </c>
      <c r="D101" s="1"/>
      <c r="E101" s="34"/>
      <c r="F101" s="1"/>
      <c r="G101" s="1"/>
      <c r="H101" s="1"/>
      <c r="I101" s="26">
        <v>2000.0</v>
      </c>
      <c r="J101" s="1"/>
      <c r="K101" s="14" t="s">
        <v>24</v>
      </c>
      <c r="L101" s="1" t="str">
        <f t="shared" si="1"/>
        <v>#REF!</v>
      </c>
      <c r="M101" s="1" t="str">
        <f t="shared" si="2"/>
        <v>#REF!</v>
      </c>
      <c r="N101" s="1" t="str">
        <f t="shared" si="3"/>
        <v>#REF!</v>
      </c>
    </row>
    <row r="102" ht="15.75" hidden="1" customHeight="1">
      <c r="A102" s="17" t="s">
        <v>1263</v>
      </c>
      <c r="B102" s="23" t="s">
        <v>696</v>
      </c>
      <c r="C102" s="26">
        <v>5000.0</v>
      </c>
      <c r="D102" s="1"/>
      <c r="E102" s="34"/>
      <c r="F102" s="1"/>
      <c r="G102" s="1"/>
      <c r="H102" s="1"/>
      <c r="I102" s="26">
        <v>2000.0</v>
      </c>
      <c r="J102" s="1"/>
      <c r="K102" s="14" t="s">
        <v>24</v>
      </c>
      <c r="L102" s="1" t="str">
        <f t="shared" si="1"/>
        <v>#REF!</v>
      </c>
      <c r="M102" s="1" t="str">
        <f t="shared" si="2"/>
        <v>#REF!</v>
      </c>
      <c r="N102" s="1" t="str">
        <f t="shared" si="3"/>
        <v>#REF!</v>
      </c>
    </row>
    <row r="103" ht="15.75" hidden="1" customHeight="1">
      <c r="A103" s="17" t="s">
        <v>1271</v>
      </c>
      <c r="B103" s="23" t="s">
        <v>1087</v>
      </c>
      <c r="C103" s="26">
        <v>5000.0</v>
      </c>
      <c r="D103" s="1"/>
      <c r="E103" s="34"/>
      <c r="F103" s="1"/>
      <c r="G103" s="1"/>
      <c r="H103" s="1"/>
      <c r="I103" s="26">
        <v>2000.0</v>
      </c>
      <c r="J103" s="1"/>
      <c r="K103" s="14" t="s">
        <v>24</v>
      </c>
      <c r="L103" s="1" t="str">
        <f t="shared" si="1"/>
        <v>#REF!</v>
      </c>
      <c r="M103" s="1" t="str">
        <f t="shared" si="2"/>
        <v>#REF!</v>
      </c>
      <c r="N103" s="1" t="str">
        <f t="shared" si="3"/>
        <v>#REF!</v>
      </c>
    </row>
    <row r="104" ht="15.75" hidden="1" customHeight="1">
      <c r="A104" s="17" t="s">
        <v>1281</v>
      </c>
      <c r="B104" s="23" t="s">
        <v>1282</v>
      </c>
      <c r="C104" s="26">
        <v>5000.0</v>
      </c>
      <c r="D104" s="1"/>
      <c r="E104" s="34"/>
      <c r="F104" s="1"/>
      <c r="G104" s="1"/>
      <c r="H104" s="1"/>
      <c r="I104" s="26">
        <v>2000.0</v>
      </c>
      <c r="J104" s="1"/>
      <c r="K104" s="14" t="s">
        <v>24</v>
      </c>
      <c r="L104" s="1" t="str">
        <f t="shared" si="1"/>
        <v>#REF!</v>
      </c>
      <c r="M104" s="1" t="str">
        <f t="shared" si="2"/>
        <v>#REF!</v>
      </c>
      <c r="N104" s="1" t="str">
        <f t="shared" si="3"/>
        <v>#REF!</v>
      </c>
    </row>
    <row r="105" ht="15.75" hidden="1" customHeight="1">
      <c r="A105" s="17" t="s">
        <v>1293</v>
      </c>
      <c r="B105" s="23" t="s">
        <v>217</v>
      </c>
      <c r="C105" s="26">
        <v>5000.0</v>
      </c>
      <c r="D105" s="1"/>
      <c r="E105" s="34"/>
      <c r="F105" s="1"/>
      <c r="G105" s="1"/>
      <c r="H105" s="1"/>
      <c r="I105" s="26">
        <v>2000.0</v>
      </c>
      <c r="J105" s="1"/>
      <c r="K105" s="14" t="s">
        <v>24</v>
      </c>
      <c r="L105" s="1" t="str">
        <f t="shared" si="1"/>
        <v>#REF!</v>
      </c>
      <c r="M105" s="1" t="str">
        <f t="shared" si="2"/>
        <v>#REF!</v>
      </c>
      <c r="N105" s="1" t="str">
        <f t="shared" si="3"/>
        <v>#REF!</v>
      </c>
    </row>
    <row r="106" ht="15.75" hidden="1" customHeight="1">
      <c r="A106" s="17" t="s">
        <v>1298</v>
      </c>
      <c r="B106" s="23" t="s">
        <v>1107</v>
      </c>
      <c r="C106" s="26">
        <v>5000.0</v>
      </c>
      <c r="D106" s="1"/>
      <c r="E106" s="34"/>
      <c r="F106" s="1"/>
      <c r="G106" s="1"/>
      <c r="H106" s="1"/>
      <c r="I106" s="26">
        <v>0.0</v>
      </c>
      <c r="J106" s="1"/>
      <c r="K106" s="14" t="s">
        <v>24</v>
      </c>
      <c r="L106" s="1" t="str">
        <f t="shared" si="1"/>
        <v>#REF!</v>
      </c>
      <c r="M106" s="1" t="str">
        <f t="shared" si="2"/>
        <v>#REF!</v>
      </c>
      <c r="N106" s="1" t="str">
        <f t="shared" si="3"/>
        <v>#REF!</v>
      </c>
    </row>
    <row r="107" ht="15.75" hidden="1" customHeight="1">
      <c r="A107" s="17" t="s">
        <v>1306</v>
      </c>
      <c r="B107" s="23" t="s">
        <v>764</v>
      </c>
      <c r="C107" s="26">
        <v>5000.0</v>
      </c>
      <c r="D107" s="1"/>
      <c r="E107" s="34"/>
      <c r="F107" s="1"/>
      <c r="G107" s="1"/>
      <c r="H107" s="1"/>
      <c r="I107" s="26">
        <v>2000.0</v>
      </c>
      <c r="J107" s="1"/>
      <c r="K107" s="14" t="s">
        <v>24</v>
      </c>
      <c r="L107" s="1" t="str">
        <f t="shared" si="1"/>
        <v>#REF!</v>
      </c>
      <c r="M107" s="1" t="str">
        <f t="shared" si="2"/>
        <v>#REF!</v>
      </c>
      <c r="N107" s="1" t="str">
        <f t="shared" si="3"/>
        <v>#REF!</v>
      </c>
    </row>
    <row r="108" ht="15.75" hidden="1" customHeight="1">
      <c r="A108" s="17" t="s">
        <v>1313</v>
      </c>
      <c r="B108" s="23" t="s">
        <v>1315</v>
      </c>
      <c r="C108" s="26">
        <v>5000.0</v>
      </c>
      <c r="D108" s="1"/>
      <c r="E108" s="34"/>
      <c r="F108" s="1"/>
      <c r="G108" s="1"/>
      <c r="H108" s="1"/>
      <c r="I108" s="26">
        <v>2000.0</v>
      </c>
      <c r="J108" s="1"/>
      <c r="K108" s="14" t="s">
        <v>24</v>
      </c>
      <c r="L108" s="1" t="str">
        <f t="shared" si="1"/>
        <v>#REF!</v>
      </c>
      <c r="M108" s="1" t="str">
        <f t="shared" si="2"/>
        <v>#REF!</v>
      </c>
      <c r="N108" s="1" t="str">
        <f t="shared" si="3"/>
        <v>#REF!</v>
      </c>
    </row>
    <row r="109" ht="15.75" hidden="1" customHeight="1">
      <c r="A109" s="17" t="s">
        <v>1322</v>
      </c>
      <c r="B109" s="23" t="s">
        <v>904</v>
      </c>
      <c r="C109" s="26">
        <v>5000.0</v>
      </c>
      <c r="D109" s="1"/>
      <c r="E109" s="34"/>
      <c r="F109" s="1"/>
      <c r="G109" s="1"/>
      <c r="H109" s="1"/>
      <c r="I109" s="26">
        <v>2000.0</v>
      </c>
      <c r="J109" s="1"/>
      <c r="K109" s="14" t="s">
        <v>24</v>
      </c>
      <c r="L109" s="1" t="str">
        <f t="shared" si="1"/>
        <v>#REF!</v>
      </c>
      <c r="M109" s="1" t="str">
        <f t="shared" si="2"/>
        <v>#REF!</v>
      </c>
      <c r="N109" s="1" t="str">
        <f t="shared" si="3"/>
        <v>#REF!</v>
      </c>
    </row>
    <row r="110" ht="15.75" hidden="1" customHeight="1">
      <c r="A110" s="17" t="s">
        <v>1330</v>
      </c>
      <c r="B110" s="23" t="s">
        <v>1331</v>
      </c>
      <c r="C110" s="26">
        <v>5000.0</v>
      </c>
      <c r="D110" s="1"/>
      <c r="E110" s="34"/>
      <c r="F110" s="1"/>
      <c r="G110" s="1"/>
      <c r="H110" s="1"/>
      <c r="I110" s="26">
        <v>2000.0</v>
      </c>
      <c r="J110" s="1"/>
      <c r="K110" s="14" t="s">
        <v>24</v>
      </c>
      <c r="L110" s="1" t="str">
        <f t="shared" si="1"/>
        <v>#REF!</v>
      </c>
      <c r="M110" s="1" t="str">
        <f t="shared" si="2"/>
        <v>#REF!</v>
      </c>
      <c r="N110" s="1" t="str">
        <f t="shared" si="3"/>
        <v>#REF!</v>
      </c>
    </row>
    <row r="111" ht="15.75" hidden="1" customHeight="1">
      <c r="A111" s="17" t="s">
        <v>1345</v>
      </c>
      <c r="B111" s="23" t="s">
        <v>936</v>
      </c>
      <c r="C111" s="26">
        <v>5000.0</v>
      </c>
      <c r="D111" s="1"/>
      <c r="E111" s="34"/>
      <c r="F111" s="1"/>
      <c r="G111" s="1"/>
      <c r="H111" s="1"/>
      <c r="I111" s="26">
        <v>2000.0</v>
      </c>
      <c r="J111" s="1"/>
      <c r="K111" s="14" t="s">
        <v>24</v>
      </c>
      <c r="L111" s="1" t="str">
        <f t="shared" si="1"/>
        <v>#REF!</v>
      </c>
      <c r="M111" s="1" t="str">
        <f t="shared" si="2"/>
        <v>#REF!</v>
      </c>
      <c r="N111" s="1" t="str">
        <f t="shared" si="3"/>
        <v>#REF!</v>
      </c>
    </row>
    <row r="112" ht="15.75" hidden="1" customHeight="1">
      <c r="A112" s="17" t="s">
        <v>1360</v>
      </c>
      <c r="B112" s="23" t="s">
        <v>331</v>
      </c>
      <c r="C112" s="26">
        <v>5000.0</v>
      </c>
      <c r="D112" s="1"/>
      <c r="E112" s="34"/>
      <c r="F112" s="1"/>
      <c r="G112" s="1"/>
      <c r="H112" s="1"/>
      <c r="I112" s="26">
        <v>2000.0</v>
      </c>
      <c r="J112" s="1"/>
      <c r="K112" s="14" t="s">
        <v>24</v>
      </c>
      <c r="L112" s="1" t="str">
        <f t="shared" si="1"/>
        <v>#REF!</v>
      </c>
      <c r="M112" s="1" t="str">
        <f t="shared" si="2"/>
        <v>#REF!</v>
      </c>
      <c r="N112" s="1" t="str">
        <f t="shared" si="3"/>
        <v>#REF!</v>
      </c>
    </row>
    <row r="113" ht="15.75" hidden="1" customHeight="1">
      <c r="A113" s="17" t="s">
        <v>1373</v>
      </c>
      <c r="B113" s="23" t="s">
        <v>1089</v>
      </c>
      <c r="C113" s="26">
        <v>5000.0</v>
      </c>
      <c r="D113" s="1"/>
      <c r="E113" s="34"/>
      <c r="F113" s="1"/>
      <c r="G113" s="1"/>
      <c r="H113" s="1"/>
      <c r="I113" s="26">
        <v>2000.0</v>
      </c>
      <c r="J113" s="1"/>
      <c r="K113" s="14" t="s">
        <v>24</v>
      </c>
      <c r="L113" s="1" t="str">
        <f t="shared" si="1"/>
        <v>#REF!</v>
      </c>
      <c r="M113" s="1" t="str">
        <f t="shared" si="2"/>
        <v>#REF!</v>
      </c>
      <c r="N113" s="1" t="str">
        <f t="shared" si="3"/>
        <v>#REF!</v>
      </c>
    </row>
    <row r="114" ht="15.75" hidden="1" customHeight="1">
      <c r="A114" s="17" t="s">
        <v>1387</v>
      </c>
      <c r="B114" s="23" t="s">
        <v>952</v>
      </c>
      <c r="C114" s="26">
        <v>5000.0</v>
      </c>
      <c r="D114" s="1"/>
      <c r="E114" s="34"/>
      <c r="F114" s="1"/>
      <c r="G114" s="1"/>
      <c r="H114" s="1"/>
      <c r="I114" s="26">
        <v>2000.0</v>
      </c>
      <c r="J114" s="1"/>
      <c r="K114" s="14" t="s">
        <v>24</v>
      </c>
      <c r="L114" s="1" t="str">
        <f t="shared" si="1"/>
        <v>#REF!</v>
      </c>
      <c r="M114" s="1" t="str">
        <f t="shared" si="2"/>
        <v>#REF!</v>
      </c>
      <c r="N114" s="1" t="str">
        <f t="shared" si="3"/>
        <v>#REF!</v>
      </c>
    </row>
    <row r="115" ht="15.75" hidden="1" customHeight="1">
      <c r="A115" s="17" t="s">
        <v>1401</v>
      </c>
      <c r="B115" s="23" t="s">
        <v>1402</v>
      </c>
      <c r="C115" s="26">
        <v>5000.0</v>
      </c>
      <c r="D115" s="1"/>
      <c r="E115" s="34"/>
      <c r="F115" s="1"/>
      <c r="G115" s="1"/>
      <c r="H115" s="1"/>
      <c r="I115" s="26">
        <v>2000.0</v>
      </c>
      <c r="J115" s="1"/>
      <c r="K115" s="14" t="s">
        <v>24</v>
      </c>
      <c r="L115" s="1" t="str">
        <f t="shared" si="1"/>
        <v>#REF!</v>
      </c>
      <c r="M115" s="1" t="str">
        <f t="shared" si="2"/>
        <v>#REF!</v>
      </c>
      <c r="N115" s="1" t="str">
        <f t="shared" si="3"/>
        <v>#REF!</v>
      </c>
    </row>
    <row r="116" ht="15.75" hidden="1" customHeight="1">
      <c r="A116" s="17" t="s">
        <v>1416</v>
      </c>
      <c r="B116" s="23" t="s">
        <v>1420</v>
      </c>
      <c r="C116" s="26">
        <v>5000.0</v>
      </c>
      <c r="D116" s="1"/>
      <c r="E116" s="34"/>
      <c r="F116" s="1"/>
      <c r="G116" s="1"/>
      <c r="H116" s="1"/>
      <c r="I116" s="26">
        <v>0.0</v>
      </c>
      <c r="J116" s="1"/>
      <c r="K116" s="14" t="s">
        <v>24</v>
      </c>
      <c r="L116" s="1" t="str">
        <f t="shared" si="1"/>
        <v>#REF!</v>
      </c>
      <c r="M116" s="1" t="str">
        <f t="shared" si="2"/>
        <v>#REF!</v>
      </c>
      <c r="N116" s="1" t="str">
        <f t="shared" si="3"/>
        <v>#REF!</v>
      </c>
    </row>
    <row r="117" ht="15.75" hidden="1" customHeight="1">
      <c r="A117" s="17" t="s">
        <v>1438</v>
      </c>
      <c r="B117" s="23" t="s">
        <v>1440</v>
      </c>
      <c r="C117" s="26">
        <v>5000.0</v>
      </c>
      <c r="D117" s="1"/>
      <c r="E117" s="34"/>
      <c r="F117" s="1"/>
      <c r="G117" s="1"/>
      <c r="H117" s="1"/>
      <c r="I117" s="26">
        <v>2000.0</v>
      </c>
      <c r="J117" s="1"/>
      <c r="K117" s="14" t="s">
        <v>24</v>
      </c>
      <c r="L117" s="1" t="str">
        <f t="shared" si="1"/>
        <v>#REF!</v>
      </c>
      <c r="M117" s="1" t="str">
        <f t="shared" si="2"/>
        <v>#REF!</v>
      </c>
      <c r="N117" s="1" t="str">
        <f t="shared" si="3"/>
        <v>#REF!</v>
      </c>
    </row>
    <row r="118" ht="15.75" hidden="1" customHeight="1">
      <c r="A118" s="17" t="s">
        <v>1447</v>
      </c>
      <c r="B118" s="23" t="s">
        <v>179</v>
      </c>
      <c r="C118" s="26">
        <v>5000.0</v>
      </c>
      <c r="D118" s="1"/>
      <c r="E118" s="34"/>
      <c r="F118" s="1"/>
      <c r="G118" s="1"/>
      <c r="H118" s="1"/>
      <c r="I118" s="26">
        <v>2000.0</v>
      </c>
      <c r="J118" s="1"/>
      <c r="K118" s="14" t="s">
        <v>24</v>
      </c>
      <c r="L118" s="1" t="str">
        <f t="shared" si="1"/>
        <v>#REF!</v>
      </c>
      <c r="M118" s="1" t="str">
        <f t="shared" si="2"/>
        <v>#REF!</v>
      </c>
      <c r="N118" s="1" t="str">
        <f t="shared" si="3"/>
        <v>#REF!</v>
      </c>
    </row>
    <row r="119" ht="15.75" hidden="1" customHeight="1">
      <c r="A119" s="17" t="s">
        <v>1460</v>
      </c>
      <c r="B119" s="23" t="s">
        <v>1461</v>
      </c>
      <c r="C119" s="26">
        <v>5000.0</v>
      </c>
      <c r="D119" s="1"/>
      <c r="E119" s="34"/>
      <c r="F119" s="1"/>
      <c r="G119" s="1"/>
      <c r="H119" s="1"/>
      <c r="I119" s="26">
        <v>2000.0</v>
      </c>
      <c r="J119" s="1"/>
      <c r="K119" s="14" t="s">
        <v>24</v>
      </c>
      <c r="L119" s="1" t="str">
        <f t="shared" si="1"/>
        <v>#REF!</v>
      </c>
      <c r="M119" s="1" t="str">
        <f t="shared" si="2"/>
        <v>#REF!</v>
      </c>
      <c r="N119" s="1" t="str">
        <f t="shared" si="3"/>
        <v>#REF!</v>
      </c>
    </row>
    <row r="120" ht="15.75" hidden="1" customHeight="1">
      <c r="A120" s="17" t="s">
        <v>1470</v>
      </c>
      <c r="B120" s="23" t="s">
        <v>1472</v>
      </c>
      <c r="C120" s="26">
        <v>5000.0</v>
      </c>
      <c r="D120" s="1"/>
      <c r="E120" s="34"/>
      <c r="F120" s="1"/>
      <c r="G120" s="1"/>
      <c r="H120" s="1"/>
      <c r="I120" s="26">
        <v>2000.0</v>
      </c>
      <c r="J120" s="1"/>
      <c r="K120" s="14" t="s">
        <v>24</v>
      </c>
      <c r="L120" s="1" t="str">
        <f t="shared" si="1"/>
        <v>#REF!</v>
      </c>
      <c r="M120" s="1" t="str">
        <f t="shared" si="2"/>
        <v>#REF!</v>
      </c>
      <c r="N120" s="1" t="str">
        <f t="shared" si="3"/>
        <v>#REF!</v>
      </c>
    </row>
    <row r="121" ht="15.75" hidden="1" customHeight="1">
      <c r="A121" s="17" t="s">
        <v>1483</v>
      </c>
      <c r="B121" s="23" t="s">
        <v>1484</v>
      </c>
      <c r="C121" s="26">
        <v>5000.0</v>
      </c>
      <c r="D121" s="1"/>
      <c r="E121" s="34"/>
      <c r="F121" s="1"/>
      <c r="G121" s="1"/>
      <c r="H121" s="1"/>
      <c r="I121" s="26">
        <v>2000.0</v>
      </c>
      <c r="J121" s="1"/>
      <c r="K121" s="14" t="s">
        <v>24</v>
      </c>
      <c r="L121" s="1" t="str">
        <f t="shared" si="1"/>
        <v>#REF!</v>
      </c>
      <c r="M121" s="1" t="str">
        <f t="shared" si="2"/>
        <v>#REF!</v>
      </c>
      <c r="N121" s="1" t="str">
        <f t="shared" si="3"/>
        <v>#REF!</v>
      </c>
    </row>
    <row r="122" ht="15.75" hidden="1" customHeight="1">
      <c r="A122" s="17" t="s">
        <v>1498</v>
      </c>
      <c r="B122" s="23" t="s">
        <v>1045</v>
      </c>
      <c r="C122" s="26">
        <v>5000.0</v>
      </c>
      <c r="D122" s="1"/>
      <c r="E122" s="34"/>
      <c r="F122" s="1"/>
      <c r="G122" s="1"/>
      <c r="H122" s="1"/>
      <c r="I122" s="26">
        <v>2000.0</v>
      </c>
      <c r="J122" s="1"/>
      <c r="K122" s="14" t="s">
        <v>24</v>
      </c>
      <c r="L122" s="1" t="str">
        <f t="shared" si="1"/>
        <v>#REF!</v>
      </c>
      <c r="M122" s="1" t="str">
        <f t="shared" si="2"/>
        <v>#REF!</v>
      </c>
      <c r="N122" s="1" t="str">
        <f t="shared" si="3"/>
        <v>#REF!</v>
      </c>
    </row>
    <row r="123" ht="15.75" hidden="1" customHeight="1">
      <c r="A123" s="17" t="s">
        <v>1509</v>
      </c>
      <c r="B123" s="23" t="s">
        <v>1510</v>
      </c>
      <c r="C123" s="26">
        <v>5000.0</v>
      </c>
      <c r="D123" s="1"/>
      <c r="E123" s="34"/>
      <c r="F123" s="1"/>
      <c r="G123" s="1"/>
      <c r="H123" s="1"/>
      <c r="I123" s="26">
        <v>2000.0</v>
      </c>
      <c r="J123" s="1"/>
      <c r="K123" s="14" t="s">
        <v>24</v>
      </c>
      <c r="L123" s="1" t="str">
        <f t="shared" si="1"/>
        <v>#REF!</v>
      </c>
      <c r="M123" s="1" t="str">
        <f t="shared" si="2"/>
        <v>#REF!</v>
      </c>
      <c r="N123" s="1" t="str">
        <f t="shared" si="3"/>
        <v>#REF!</v>
      </c>
    </row>
    <row r="124" ht="15.75" hidden="1" customHeight="1">
      <c r="A124" s="17" t="s">
        <v>1518</v>
      </c>
      <c r="B124" s="23" t="s">
        <v>618</v>
      </c>
      <c r="C124" s="26">
        <v>5000.0</v>
      </c>
      <c r="D124" s="1"/>
      <c r="E124" s="34"/>
      <c r="F124" s="1"/>
      <c r="G124" s="1"/>
      <c r="H124" s="1"/>
      <c r="I124" s="26">
        <v>2000.0</v>
      </c>
      <c r="J124" s="1"/>
      <c r="K124" s="14" t="s">
        <v>24</v>
      </c>
      <c r="L124" s="1" t="str">
        <f t="shared" si="1"/>
        <v>#REF!</v>
      </c>
      <c r="M124" s="1" t="str">
        <f t="shared" si="2"/>
        <v>#REF!</v>
      </c>
      <c r="N124" s="1" t="str">
        <f t="shared" si="3"/>
        <v>#REF!</v>
      </c>
    </row>
    <row r="125" ht="15.75" hidden="1" customHeight="1">
      <c r="A125" s="17" t="s">
        <v>1530</v>
      </c>
      <c r="B125" s="23" t="s">
        <v>703</v>
      </c>
      <c r="C125" s="26">
        <v>5000.0</v>
      </c>
      <c r="D125" s="1"/>
      <c r="E125" s="34"/>
      <c r="F125" s="1"/>
      <c r="G125" s="1"/>
      <c r="H125" s="1"/>
      <c r="I125" s="26">
        <v>2000.0</v>
      </c>
      <c r="J125" s="1"/>
      <c r="K125" s="14" t="s">
        <v>24</v>
      </c>
      <c r="L125" s="1" t="str">
        <f t="shared" si="1"/>
        <v>#REF!</v>
      </c>
      <c r="M125" s="1" t="str">
        <f t="shared" si="2"/>
        <v>#REF!</v>
      </c>
      <c r="N125" s="1" t="str">
        <f t="shared" si="3"/>
        <v>#REF!</v>
      </c>
    </row>
    <row r="126" ht="15.75" hidden="1" customHeight="1">
      <c r="A126" s="17" t="s">
        <v>1538</v>
      </c>
      <c r="B126" s="23" t="s">
        <v>1543</v>
      </c>
      <c r="C126" s="26">
        <v>5000.0</v>
      </c>
      <c r="D126" s="1"/>
      <c r="E126" s="34"/>
      <c r="F126" s="1"/>
      <c r="G126" s="1"/>
      <c r="H126" s="1"/>
      <c r="I126" s="26">
        <v>2000.0</v>
      </c>
      <c r="J126" s="1"/>
      <c r="K126" s="14" t="s">
        <v>24</v>
      </c>
      <c r="L126" s="1" t="str">
        <f t="shared" si="1"/>
        <v>#REF!</v>
      </c>
      <c r="M126" s="1" t="str">
        <f t="shared" si="2"/>
        <v>#REF!</v>
      </c>
      <c r="N126" s="1" t="str">
        <f t="shared" si="3"/>
        <v>#REF!</v>
      </c>
    </row>
    <row r="127" ht="15.75" hidden="1" customHeight="1">
      <c r="A127" s="17" t="s">
        <v>1564</v>
      </c>
      <c r="B127" s="23" t="s">
        <v>1054</v>
      </c>
      <c r="C127" s="26">
        <v>5000.0</v>
      </c>
      <c r="D127" s="1"/>
      <c r="E127" s="34"/>
      <c r="F127" s="1"/>
      <c r="G127" s="1"/>
      <c r="H127" s="1"/>
      <c r="I127" s="26">
        <v>0.0</v>
      </c>
      <c r="J127" s="1"/>
      <c r="K127" s="14" t="s">
        <v>24</v>
      </c>
      <c r="L127" s="1" t="str">
        <f t="shared" si="1"/>
        <v>#REF!</v>
      </c>
      <c r="M127" s="1" t="str">
        <f t="shared" si="2"/>
        <v>#REF!</v>
      </c>
      <c r="N127" s="1" t="str">
        <f t="shared" si="3"/>
        <v>#REF!</v>
      </c>
    </row>
    <row r="128" ht="15.75" hidden="1" customHeight="1">
      <c r="A128" s="17" t="s">
        <v>1586</v>
      </c>
      <c r="B128" s="23" t="s">
        <v>740</v>
      </c>
      <c r="C128" s="26">
        <v>5000.0</v>
      </c>
      <c r="D128" s="1"/>
      <c r="E128" s="34"/>
      <c r="F128" s="1"/>
      <c r="G128" s="1"/>
      <c r="H128" s="1"/>
      <c r="I128" s="26">
        <v>0.0</v>
      </c>
      <c r="J128" s="1"/>
      <c r="K128" s="14" t="s">
        <v>24</v>
      </c>
      <c r="L128" s="1" t="str">
        <f t="shared" si="1"/>
        <v>#REF!</v>
      </c>
      <c r="M128" s="1" t="str">
        <f t="shared" si="2"/>
        <v>#REF!</v>
      </c>
      <c r="N128" s="1" t="str">
        <f t="shared" si="3"/>
        <v>#REF!</v>
      </c>
    </row>
    <row r="129" ht="15.75" hidden="1" customHeight="1">
      <c r="A129" s="17" t="s">
        <v>1599</v>
      </c>
      <c r="B129" s="23" t="s">
        <v>1003</v>
      </c>
      <c r="C129" s="26">
        <v>5000.0</v>
      </c>
      <c r="D129" s="1"/>
      <c r="E129" s="34"/>
      <c r="F129" s="1"/>
      <c r="G129" s="1"/>
      <c r="H129" s="1"/>
      <c r="I129" s="26">
        <v>2000.0</v>
      </c>
      <c r="J129" s="1"/>
      <c r="K129" s="14" t="s">
        <v>24</v>
      </c>
      <c r="L129" s="1" t="str">
        <f t="shared" si="1"/>
        <v>#REF!</v>
      </c>
      <c r="M129" s="1" t="str">
        <f t="shared" si="2"/>
        <v>#REF!</v>
      </c>
      <c r="N129" s="1" t="str">
        <f t="shared" si="3"/>
        <v>#REF!</v>
      </c>
    </row>
    <row r="130" ht="15.75" hidden="1" customHeight="1">
      <c r="A130" s="17" t="s">
        <v>1615</v>
      </c>
      <c r="B130" s="23" t="s">
        <v>558</v>
      </c>
      <c r="C130" s="26">
        <v>5000.0</v>
      </c>
      <c r="D130" s="1"/>
      <c r="E130" s="34"/>
      <c r="F130" s="1"/>
      <c r="G130" s="1"/>
      <c r="H130" s="1"/>
      <c r="I130" s="26">
        <v>2000.0</v>
      </c>
      <c r="J130" s="1"/>
      <c r="K130" s="14" t="s">
        <v>24</v>
      </c>
      <c r="L130" s="1" t="str">
        <f t="shared" si="1"/>
        <v>#REF!</v>
      </c>
      <c r="M130" s="1" t="str">
        <f t="shared" si="2"/>
        <v>#REF!</v>
      </c>
      <c r="N130" s="1" t="str">
        <f t="shared" si="3"/>
        <v>#REF!</v>
      </c>
    </row>
    <row r="131" ht="15.75" hidden="1" customHeight="1">
      <c r="A131" s="17" t="s">
        <v>1628</v>
      </c>
      <c r="B131" s="23" t="s">
        <v>1209</v>
      </c>
      <c r="C131" s="26">
        <v>5000.0</v>
      </c>
      <c r="D131" s="1"/>
      <c r="E131" s="34"/>
      <c r="F131" s="1"/>
      <c r="G131" s="1"/>
      <c r="H131" s="1"/>
      <c r="I131" s="26">
        <v>2000.0</v>
      </c>
      <c r="J131" s="1"/>
      <c r="K131" s="14" t="s">
        <v>24</v>
      </c>
      <c r="L131" s="1" t="str">
        <f t="shared" si="1"/>
        <v>#REF!</v>
      </c>
      <c r="M131" s="1" t="str">
        <f t="shared" si="2"/>
        <v>#REF!</v>
      </c>
      <c r="N131" s="1" t="str">
        <f t="shared" si="3"/>
        <v>#REF!</v>
      </c>
    </row>
    <row r="132" ht="15.75" hidden="1" customHeight="1">
      <c r="A132" s="17" t="s">
        <v>1642</v>
      </c>
      <c r="B132" s="23" t="s">
        <v>287</v>
      </c>
      <c r="C132" s="26">
        <v>5000.0</v>
      </c>
      <c r="D132" s="1"/>
      <c r="E132" s="34"/>
      <c r="F132" s="1"/>
      <c r="G132" s="1"/>
      <c r="H132" s="1"/>
      <c r="I132" s="26">
        <v>2000.0</v>
      </c>
      <c r="J132" s="1"/>
      <c r="K132" s="14" t="s">
        <v>24</v>
      </c>
      <c r="L132" s="1" t="str">
        <f t="shared" si="1"/>
        <v>#REF!</v>
      </c>
      <c r="M132" s="1" t="str">
        <f t="shared" si="2"/>
        <v>#REF!</v>
      </c>
      <c r="N132" s="1" t="str">
        <f t="shared" si="3"/>
        <v>#REF!</v>
      </c>
    </row>
    <row r="133" ht="15.75" hidden="1" customHeight="1">
      <c r="A133" s="17" t="s">
        <v>1656</v>
      </c>
      <c r="B133" s="23" t="s">
        <v>910</v>
      </c>
      <c r="C133" s="26">
        <v>5000.0</v>
      </c>
      <c r="D133" s="1"/>
      <c r="E133" s="34"/>
      <c r="F133" s="1"/>
      <c r="G133" s="1"/>
      <c r="H133" s="1"/>
      <c r="I133" s="26">
        <v>2000.0</v>
      </c>
      <c r="J133" s="1"/>
      <c r="K133" s="14" t="s">
        <v>24</v>
      </c>
      <c r="L133" s="1" t="str">
        <f t="shared" si="1"/>
        <v>#REF!</v>
      </c>
      <c r="M133" s="1" t="str">
        <f t="shared" si="2"/>
        <v>#REF!</v>
      </c>
      <c r="N133" s="1" t="str">
        <f t="shared" si="3"/>
        <v>#REF!</v>
      </c>
    </row>
    <row r="134" ht="15.75" hidden="1" customHeight="1">
      <c r="A134" s="17" t="s">
        <v>1670</v>
      </c>
      <c r="B134" s="23" t="s">
        <v>758</v>
      </c>
      <c r="C134" s="26">
        <v>5000.0</v>
      </c>
      <c r="D134" s="1"/>
      <c r="E134" s="34"/>
      <c r="F134" s="1"/>
      <c r="G134" s="1"/>
      <c r="H134" s="1"/>
      <c r="I134" s="26">
        <v>2000.0</v>
      </c>
      <c r="J134" s="1"/>
      <c r="K134" s="14" t="s">
        <v>24</v>
      </c>
      <c r="L134" s="1" t="str">
        <f t="shared" si="1"/>
        <v>#REF!</v>
      </c>
      <c r="M134" s="1" t="str">
        <f t="shared" si="2"/>
        <v>#REF!</v>
      </c>
      <c r="N134" s="1" t="str">
        <f t="shared" si="3"/>
        <v>#REF!</v>
      </c>
    </row>
    <row r="135" ht="15.75" hidden="1" customHeight="1">
      <c r="A135" s="17" t="s">
        <v>1683</v>
      </c>
      <c r="B135" s="23" t="s">
        <v>532</v>
      </c>
      <c r="C135" s="26">
        <v>5000.0</v>
      </c>
      <c r="D135" s="1"/>
      <c r="E135" s="34"/>
      <c r="F135" s="1"/>
      <c r="G135" s="1"/>
      <c r="H135" s="1"/>
      <c r="I135" s="26">
        <v>2000.0</v>
      </c>
      <c r="J135" s="1"/>
      <c r="K135" s="14" t="s">
        <v>24</v>
      </c>
      <c r="L135" s="1" t="str">
        <f t="shared" si="1"/>
        <v>#REF!</v>
      </c>
      <c r="M135" s="1" t="str">
        <f t="shared" si="2"/>
        <v>#REF!</v>
      </c>
      <c r="N135" s="1" t="str">
        <f t="shared" si="3"/>
        <v>#REF!</v>
      </c>
    </row>
    <row r="136" ht="15.75" hidden="1" customHeight="1">
      <c r="A136" s="17" t="s">
        <v>1695</v>
      </c>
      <c r="B136" s="23" t="s">
        <v>226</v>
      </c>
      <c r="C136" s="26">
        <v>2500.0</v>
      </c>
      <c r="D136" s="1"/>
      <c r="E136" s="34"/>
      <c r="F136" s="1"/>
      <c r="G136" s="1"/>
      <c r="H136" s="1"/>
      <c r="I136" s="26">
        <v>2000.0</v>
      </c>
      <c r="J136" s="1" t="s">
        <v>53</v>
      </c>
      <c r="K136" s="14" t="s">
        <v>24</v>
      </c>
      <c r="L136" s="1" t="str">
        <f t="shared" si="1"/>
        <v>#REF!</v>
      </c>
      <c r="M136" s="1" t="str">
        <f t="shared" si="2"/>
        <v>#REF!</v>
      </c>
      <c r="N136" s="1" t="str">
        <f t="shared" si="3"/>
        <v>#REF!</v>
      </c>
    </row>
    <row r="137" ht="15.75" hidden="1" customHeight="1">
      <c r="A137" s="17" t="s">
        <v>1710</v>
      </c>
      <c r="B137" s="23" t="s">
        <v>131</v>
      </c>
      <c r="C137" s="26">
        <v>2500.0</v>
      </c>
      <c r="D137" s="1"/>
      <c r="E137" s="34"/>
      <c r="F137" s="1"/>
      <c r="G137" s="1"/>
      <c r="H137" s="1"/>
      <c r="I137" s="26">
        <v>2000.0</v>
      </c>
      <c r="J137" s="1" t="s">
        <v>53</v>
      </c>
      <c r="K137" s="14" t="s">
        <v>24</v>
      </c>
      <c r="L137" s="1" t="str">
        <f t="shared" si="1"/>
        <v>#REF!</v>
      </c>
      <c r="M137" s="1" t="str">
        <f t="shared" si="2"/>
        <v>#REF!</v>
      </c>
      <c r="N137" s="1" t="str">
        <f t="shared" si="3"/>
        <v>#REF!</v>
      </c>
    </row>
    <row r="138" ht="15.75" hidden="1" customHeight="1">
      <c r="A138" s="17" t="s">
        <v>1721</v>
      </c>
      <c r="B138" s="23" t="s">
        <v>1035</v>
      </c>
      <c r="C138" s="26">
        <v>2500.0</v>
      </c>
      <c r="D138" s="1"/>
      <c r="E138" s="34"/>
      <c r="F138" s="1"/>
      <c r="G138" s="1"/>
      <c r="H138" s="1"/>
      <c r="I138" s="26">
        <v>2000.0</v>
      </c>
      <c r="J138" s="1" t="s">
        <v>53</v>
      </c>
      <c r="K138" s="14" t="s">
        <v>24</v>
      </c>
      <c r="L138" s="1" t="str">
        <f t="shared" si="1"/>
        <v>#REF!</v>
      </c>
      <c r="M138" s="1" t="str">
        <f t="shared" si="2"/>
        <v>#REF!</v>
      </c>
      <c r="N138" s="1" t="str">
        <f t="shared" si="3"/>
        <v>#REF!</v>
      </c>
    </row>
    <row r="139" ht="15.75" hidden="1" customHeight="1">
      <c r="A139" s="17" t="s">
        <v>1733</v>
      </c>
      <c r="B139" s="23" t="s">
        <v>476</v>
      </c>
      <c r="C139" s="26">
        <v>2500.0</v>
      </c>
      <c r="D139" s="1"/>
      <c r="E139" s="34"/>
      <c r="F139" s="1"/>
      <c r="G139" s="1"/>
      <c r="H139" s="1"/>
      <c r="I139" s="26">
        <v>2000.0</v>
      </c>
      <c r="J139" s="1" t="s">
        <v>53</v>
      </c>
      <c r="K139" s="14" t="s">
        <v>24</v>
      </c>
      <c r="L139" s="1" t="str">
        <f t="shared" si="1"/>
        <v>#REF!</v>
      </c>
      <c r="M139" s="1" t="str">
        <f t="shared" si="2"/>
        <v>#REF!</v>
      </c>
      <c r="N139" s="1" t="str">
        <f t="shared" si="3"/>
        <v>#REF!</v>
      </c>
    </row>
    <row r="140" ht="15.75" hidden="1" customHeight="1">
      <c r="A140" s="17" t="s">
        <v>1749</v>
      </c>
      <c r="B140" s="23" t="s">
        <v>545</v>
      </c>
      <c r="C140" s="26">
        <v>2500.0</v>
      </c>
      <c r="D140" s="1"/>
      <c r="E140" s="34"/>
      <c r="F140" s="1"/>
      <c r="G140" s="1"/>
      <c r="H140" s="1"/>
      <c r="I140" s="26">
        <v>2000.0</v>
      </c>
      <c r="J140" s="1" t="s">
        <v>53</v>
      </c>
      <c r="K140" s="14" t="s">
        <v>24</v>
      </c>
      <c r="L140" s="1" t="str">
        <f t="shared" si="1"/>
        <v>#REF!</v>
      </c>
      <c r="M140" s="1" t="str">
        <f t="shared" si="2"/>
        <v>#REF!</v>
      </c>
      <c r="N140" s="1" t="str">
        <f t="shared" si="3"/>
        <v>#REF!</v>
      </c>
    </row>
    <row r="141" ht="15.75" hidden="1" customHeight="1">
      <c r="A141" s="17" t="s">
        <v>1763</v>
      </c>
      <c r="B141" s="23" t="s">
        <v>1765</v>
      </c>
      <c r="C141" s="26">
        <v>2500.0</v>
      </c>
      <c r="D141" s="1"/>
      <c r="E141" s="34"/>
      <c r="F141" s="1"/>
      <c r="G141" s="1"/>
      <c r="H141" s="1"/>
      <c r="I141" s="26">
        <v>2000.0</v>
      </c>
      <c r="J141" s="1" t="s">
        <v>53</v>
      </c>
      <c r="K141" s="14" t="s">
        <v>24</v>
      </c>
      <c r="L141" s="1" t="str">
        <f t="shared" si="1"/>
        <v>#REF!</v>
      </c>
      <c r="M141" s="1" t="str">
        <f t="shared" si="2"/>
        <v>#REF!</v>
      </c>
      <c r="N141" s="1" t="str">
        <f t="shared" si="3"/>
        <v>#REF!</v>
      </c>
    </row>
    <row r="142" ht="15.75" hidden="1" customHeight="1">
      <c r="A142" s="17" t="s">
        <v>1774</v>
      </c>
      <c r="B142" s="23" t="s">
        <v>1775</v>
      </c>
      <c r="C142" s="26">
        <v>2500.0</v>
      </c>
      <c r="D142" s="1"/>
      <c r="E142" s="34"/>
      <c r="F142" s="1"/>
      <c r="G142" s="1"/>
      <c r="H142" s="1"/>
      <c r="I142" s="26">
        <v>2000.0</v>
      </c>
      <c r="J142" s="1" t="s">
        <v>53</v>
      </c>
      <c r="K142" s="14" t="s">
        <v>24</v>
      </c>
      <c r="L142" s="1" t="str">
        <f t="shared" si="1"/>
        <v>#REF!</v>
      </c>
      <c r="M142" s="1" t="str">
        <f t="shared" si="2"/>
        <v>#REF!</v>
      </c>
      <c r="N142" s="1" t="str">
        <f t="shared" si="3"/>
        <v>#REF!</v>
      </c>
    </row>
    <row r="143" ht="15.75" hidden="1" customHeight="1">
      <c r="A143" s="17" t="s">
        <v>1792</v>
      </c>
      <c r="B143" s="23" t="s">
        <v>760</v>
      </c>
      <c r="C143" s="26">
        <v>2500.0</v>
      </c>
      <c r="D143" s="1"/>
      <c r="E143" s="34"/>
      <c r="F143" s="1"/>
      <c r="G143" s="1"/>
      <c r="H143" s="1"/>
      <c r="I143" s="26">
        <v>2000.0</v>
      </c>
      <c r="J143" s="1" t="s">
        <v>53</v>
      </c>
      <c r="K143" s="14" t="s">
        <v>24</v>
      </c>
      <c r="L143" s="1" t="str">
        <f t="shared" si="1"/>
        <v>#REF!</v>
      </c>
      <c r="M143" s="1" t="str">
        <f t="shared" si="2"/>
        <v>#REF!</v>
      </c>
      <c r="N143" s="1" t="str">
        <f t="shared" si="3"/>
        <v>#REF!</v>
      </c>
    </row>
    <row r="144" ht="15.75" hidden="1" customHeight="1">
      <c r="A144" s="17" t="s">
        <v>1805</v>
      </c>
      <c r="B144" s="23" t="s">
        <v>343</v>
      </c>
      <c r="C144" s="26">
        <v>2500.0</v>
      </c>
      <c r="D144" s="1"/>
      <c r="E144" s="34"/>
      <c r="F144" s="1"/>
      <c r="G144" s="1"/>
      <c r="H144" s="1"/>
      <c r="I144" s="26">
        <v>2000.0</v>
      </c>
      <c r="J144" s="1" t="s">
        <v>53</v>
      </c>
      <c r="K144" s="14" t="s">
        <v>24</v>
      </c>
      <c r="L144" s="1" t="str">
        <f t="shared" si="1"/>
        <v>#REF!</v>
      </c>
      <c r="M144" s="1" t="str">
        <f t="shared" si="2"/>
        <v>#REF!</v>
      </c>
      <c r="N144" s="1" t="str">
        <f t="shared" si="3"/>
        <v>#REF!</v>
      </c>
    </row>
    <row r="145" ht="15.75" hidden="1" customHeight="1">
      <c r="A145" s="17" t="s">
        <v>1820</v>
      </c>
      <c r="B145" s="23" t="s">
        <v>1295</v>
      </c>
      <c r="C145" s="26">
        <v>5000.0</v>
      </c>
      <c r="D145" s="1"/>
      <c r="E145" s="34"/>
      <c r="F145" s="1"/>
      <c r="G145" s="1"/>
      <c r="H145" s="1"/>
      <c r="I145" s="26">
        <v>2000.0</v>
      </c>
      <c r="J145" s="1"/>
      <c r="K145" s="14" t="s">
        <v>24</v>
      </c>
      <c r="L145" s="1" t="str">
        <f t="shared" si="1"/>
        <v>#REF!</v>
      </c>
      <c r="M145" s="1" t="str">
        <f t="shared" si="2"/>
        <v>#REF!</v>
      </c>
      <c r="N145" s="1" t="str">
        <f t="shared" si="3"/>
        <v>#REF!</v>
      </c>
    </row>
    <row r="146" ht="15.75" hidden="1" customHeight="1">
      <c r="A146" s="17" t="s">
        <v>1837</v>
      </c>
      <c r="B146" s="23" t="s">
        <v>852</v>
      </c>
      <c r="C146" s="26">
        <v>2500.0</v>
      </c>
      <c r="D146" s="1"/>
      <c r="E146" s="34"/>
      <c r="F146" s="1"/>
      <c r="G146" s="1"/>
      <c r="H146" s="1"/>
      <c r="I146" s="26">
        <v>2000.0</v>
      </c>
      <c r="J146" s="1" t="s">
        <v>53</v>
      </c>
      <c r="K146" s="14" t="s">
        <v>24</v>
      </c>
      <c r="L146" s="1" t="str">
        <f t="shared" si="1"/>
        <v>#REF!</v>
      </c>
      <c r="M146" s="1" t="str">
        <f t="shared" si="2"/>
        <v>#REF!</v>
      </c>
      <c r="N146" s="1" t="str">
        <f t="shared" si="3"/>
        <v>#REF!</v>
      </c>
    </row>
    <row r="147" ht="15.75" hidden="1" customHeight="1">
      <c r="A147" s="17" t="s">
        <v>1853</v>
      </c>
      <c r="B147" s="23" t="s">
        <v>594</v>
      </c>
      <c r="C147" s="26">
        <v>5000.0</v>
      </c>
      <c r="D147" s="1"/>
      <c r="E147" s="34"/>
      <c r="F147" s="1"/>
      <c r="G147" s="1"/>
      <c r="H147" s="1"/>
      <c r="I147" s="26">
        <v>2000.0</v>
      </c>
      <c r="J147" s="1"/>
      <c r="K147" s="14" t="s">
        <v>24</v>
      </c>
      <c r="L147" s="1" t="str">
        <f t="shared" si="1"/>
        <v>#REF!</v>
      </c>
      <c r="M147" s="1" t="str">
        <f t="shared" si="2"/>
        <v>#REF!</v>
      </c>
      <c r="N147" s="1" t="str">
        <f t="shared" si="3"/>
        <v>#REF!</v>
      </c>
    </row>
    <row r="148" ht="15.75" hidden="1" customHeight="1">
      <c r="A148" s="17" t="s">
        <v>1862</v>
      </c>
      <c r="B148" s="23" t="s">
        <v>1863</v>
      </c>
      <c r="C148" s="26">
        <v>2500.0</v>
      </c>
      <c r="D148" s="1"/>
      <c r="E148" s="34"/>
      <c r="F148" s="1"/>
      <c r="G148" s="1"/>
      <c r="H148" s="1"/>
      <c r="I148" s="26">
        <v>2000.0</v>
      </c>
      <c r="J148" s="1" t="s">
        <v>53</v>
      </c>
      <c r="K148" s="14" t="s">
        <v>24</v>
      </c>
      <c r="L148" s="1" t="str">
        <f t="shared" si="1"/>
        <v>#REF!</v>
      </c>
      <c r="M148" s="1" t="str">
        <f t="shared" si="2"/>
        <v>#REF!</v>
      </c>
      <c r="N148" s="1" t="str">
        <f t="shared" si="3"/>
        <v>#REF!</v>
      </c>
    </row>
    <row r="149" ht="15.75" hidden="1" customHeight="1">
      <c r="A149" s="17" t="s">
        <v>1876</v>
      </c>
      <c r="B149" s="23" t="s">
        <v>1085</v>
      </c>
      <c r="C149" s="26">
        <v>2500.0</v>
      </c>
      <c r="D149" s="1"/>
      <c r="E149" s="34"/>
      <c r="F149" s="1"/>
      <c r="G149" s="1"/>
      <c r="H149" s="1"/>
      <c r="I149" s="26">
        <v>2000.0</v>
      </c>
      <c r="J149" s="1" t="s">
        <v>53</v>
      </c>
      <c r="K149" s="14" t="s">
        <v>24</v>
      </c>
      <c r="L149" s="1" t="str">
        <f t="shared" si="1"/>
        <v>#REF!</v>
      </c>
      <c r="M149" s="1" t="str">
        <f t="shared" si="2"/>
        <v>#REF!</v>
      </c>
      <c r="N149" s="1" t="str">
        <f t="shared" si="3"/>
        <v>#REF!</v>
      </c>
    </row>
    <row r="150" ht="15.75" hidden="1" customHeight="1">
      <c r="A150" s="17" t="s">
        <v>1892</v>
      </c>
      <c r="B150" s="23" t="s">
        <v>708</v>
      </c>
      <c r="C150" s="26">
        <v>2500.0</v>
      </c>
      <c r="D150" s="1"/>
      <c r="E150" s="34"/>
      <c r="F150" s="1"/>
      <c r="G150" s="1"/>
      <c r="H150" s="1"/>
      <c r="I150" s="26">
        <v>2000.0</v>
      </c>
      <c r="J150" s="1" t="s">
        <v>53</v>
      </c>
      <c r="K150" s="14" t="s">
        <v>24</v>
      </c>
      <c r="L150" s="1" t="str">
        <f t="shared" si="1"/>
        <v>#REF!</v>
      </c>
      <c r="M150" s="1" t="str">
        <f t="shared" si="2"/>
        <v>#REF!</v>
      </c>
      <c r="N150" s="1" t="str">
        <f t="shared" si="3"/>
        <v>#REF!</v>
      </c>
    </row>
    <row r="151" ht="15.75" hidden="1" customHeight="1">
      <c r="A151" s="17" t="s">
        <v>1905</v>
      </c>
      <c r="B151" s="23" t="s">
        <v>1168</v>
      </c>
      <c r="C151" s="26">
        <v>2500.0</v>
      </c>
      <c r="D151" s="1"/>
      <c r="E151" s="34"/>
      <c r="F151" s="1"/>
      <c r="G151" s="1"/>
      <c r="H151" s="1"/>
      <c r="I151" s="26">
        <v>2000.0</v>
      </c>
      <c r="J151" s="1" t="s">
        <v>53</v>
      </c>
      <c r="K151" s="14" t="s">
        <v>24</v>
      </c>
      <c r="L151" s="1" t="str">
        <f t="shared" si="1"/>
        <v>#REF!</v>
      </c>
      <c r="M151" s="1" t="str">
        <f t="shared" si="2"/>
        <v>#REF!</v>
      </c>
      <c r="N151" s="1" t="str">
        <f t="shared" si="3"/>
        <v>#REF!</v>
      </c>
    </row>
    <row r="152" ht="15.75" hidden="1" customHeight="1">
      <c r="A152" s="17" t="s">
        <v>1921</v>
      </c>
      <c r="B152" s="23" t="s">
        <v>1505</v>
      </c>
      <c r="C152" s="26">
        <v>2500.0</v>
      </c>
      <c r="D152" s="1"/>
      <c r="E152" s="34"/>
      <c r="F152" s="1"/>
      <c r="G152" s="1"/>
      <c r="H152" s="1"/>
      <c r="I152" s="26">
        <v>2000.0</v>
      </c>
      <c r="J152" s="1" t="s">
        <v>53</v>
      </c>
      <c r="K152" s="14" t="s">
        <v>24</v>
      </c>
      <c r="L152" s="1" t="str">
        <f t="shared" si="1"/>
        <v>#REF!</v>
      </c>
      <c r="M152" s="1" t="str">
        <f t="shared" si="2"/>
        <v>#REF!</v>
      </c>
      <c r="N152" s="1" t="str">
        <f t="shared" si="3"/>
        <v>#REF!</v>
      </c>
    </row>
    <row r="153" ht="15.75" hidden="1" customHeight="1">
      <c r="A153" s="17" t="s">
        <v>1939</v>
      </c>
      <c r="B153" s="23" t="s">
        <v>974</v>
      </c>
      <c r="C153" s="26">
        <v>2500.0</v>
      </c>
      <c r="D153" s="1"/>
      <c r="E153" s="34"/>
      <c r="F153" s="1"/>
      <c r="G153" s="1"/>
      <c r="H153" s="1"/>
      <c r="I153" s="26">
        <v>2000.0</v>
      </c>
      <c r="J153" s="1" t="s">
        <v>53</v>
      </c>
      <c r="K153" s="14" t="s">
        <v>24</v>
      </c>
      <c r="L153" s="1" t="str">
        <f t="shared" si="1"/>
        <v>#REF!</v>
      </c>
      <c r="M153" s="1" t="str">
        <f t="shared" si="2"/>
        <v>#REF!</v>
      </c>
      <c r="N153" s="1" t="str">
        <f t="shared" si="3"/>
        <v>#REF!</v>
      </c>
    </row>
    <row r="154" ht="15.75" hidden="1" customHeight="1">
      <c r="A154" s="17" t="s">
        <v>1952</v>
      </c>
      <c r="B154" s="23" t="s">
        <v>271</v>
      </c>
      <c r="C154" s="26">
        <v>2500.0</v>
      </c>
      <c r="D154" s="1"/>
      <c r="E154" s="34"/>
      <c r="F154" s="1"/>
      <c r="G154" s="1"/>
      <c r="H154" s="1"/>
      <c r="I154" s="26">
        <v>2000.0</v>
      </c>
      <c r="J154" s="1" t="s">
        <v>53</v>
      </c>
      <c r="K154" s="14" t="s">
        <v>24</v>
      </c>
      <c r="L154" s="1" t="str">
        <f t="shared" si="1"/>
        <v>#REF!</v>
      </c>
      <c r="M154" s="1" t="str">
        <f t="shared" si="2"/>
        <v>#REF!</v>
      </c>
      <c r="N154" s="1" t="str">
        <f t="shared" si="3"/>
        <v>#REF!</v>
      </c>
    </row>
    <row r="155" ht="15.75" hidden="1" customHeight="1">
      <c r="A155" s="17" t="s">
        <v>1953</v>
      </c>
      <c r="B155" s="23" t="s">
        <v>612</v>
      </c>
      <c r="C155" s="26">
        <v>5390.0</v>
      </c>
      <c r="D155" s="17"/>
      <c r="E155" s="37"/>
      <c r="F155" s="26"/>
      <c r="G155" s="17"/>
      <c r="H155" s="23"/>
      <c r="I155" s="26"/>
      <c r="J155" s="1"/>
      <c r="K155" s="19" t="s">
        <v>36</v>
      </c>
      <c r="L155" s="1" t="str">
        <f t="shared" si="1"/>
        <v>#REF!</v>
      </c>
      <c r="M155" s="1" t="str">
        <f t="shared" si="2"/>
        <v>#REF!</v>
      </c>
      <c r="N155" s="1" t="str">
        <f t="shared" si="3"/>
        <v>#REF!</v>
      </c>
    </row>
    <row r="156" ht="15.75" hidden="1" customHeight="1">
      <c r="A156" s="17" t="s">
        <v>1954</v>
      </c>
      <c r="B156" s="23" t="s">
        <v>1648</v>
      </c>
      <c r="C156" s="26">
        <v>5390.0</v>
      </c>
      <c r="D156" s="17"/>
      <c r="E156" s="37"/>
      <c r="F156" s="26"/>
      <c r="G156" s="17"/>
      <c r="H156" s="23"/>
      <c r="I156" s="26"/>
      <c r="J156" s="1"/>
      <c r="K156" s="19" t="s">
        <v>36</v>
      </c>
      <c r="L156" s="1" t="str">
        <f t="shared" si="1"/>
        <v>#REF!</v>
      </c>
      <c r="M156" s="1" t="str">
        <f t="shared" si="2"/>
        <v>#REF!</v>
      </c>
      <c r="N156" s="1" t="str">
        <f t="shared" si="3"/>
        <v>#REF!</v>
      </c>
    </row>
    <row r="157" ht="15.75" hidden="1" customHeight="1">
      <c r="A157" s="17" t="s">
        <v>1955</v>
      </c>
      <c r="B157" s="23" t="s">
        <v>646</v>
      </c>
      <c r="C157" s="26">
        <v>5390.0</v>
      </c>
      <c r="D157" s="17"/>
      <c r="E157" s="37"/>
      <c r="F157" s="26"/>
      <c r="G157" s="17"/>
      <c r="H157" s="23"/>
      <c r="I157" s="26"/>
      <c r="J157" s="1"/>
      <c r="K157" s="19" t="s">
        <v>36</v>
      </c>
      <c r="L157" s="1" t="str">
        <f t="shared" si="1"/>
        <v>#REF!</v>
      </c>
      <c r="M157" s="1" t="str">
        <f t="shared" si="2"/>
        <v>#REF!</v>
      </c>
      <c r="N157" s="1" t="str">
        <f t="shared" si="3"/>
        <v>#REF!</v>
      </c>
    </row>
    <row r="158" ht="15.75" hidden="1" customHeight="1">
      <c r="A158" s="17" t="s">
        <v>41</v>
      </c>
      <c r="B158" s="23" t="s">
        <v>48</v>
      </c>
      <c r="C158" s="26">
        <v>5390.0</v>
      </c>
      <c r="D158" s="17"/>
      <c r="E158" s="37"/>
      <c r="F158" s="26"/>
      <c r="G158" s="17"/>
      <c r="H158" s="23"/>
      <c r="I158" s="26"/>
      <c r="J158" s="1"/>
      <c r="K158" s="19" t="s">
        <v>36</v>
      </c>
      <c r="L158" s="1" t="str">
        <f t="shared" si="1"/>
        <v>#REF!</v>
      </c>
      <c r="M158" s="1" t="str">
        <f t="shared" si="2"/>
        <v>#REF!</v>
      </c>
      <c r="N158" s="1" t="str">
        <f t="shared" si="3"/>
        <v>#REF!</v>
      </c>
    </row>
    <row r="159" ht="15.75" hidden="1" customHeight="1">
      <c r="A159" s="17" t="s">
        <v>1956</v>
      </c>
      <c r="B159" s="23" t="s">
        <v>85</v>
      </c>
      <c r="C159" s="26">
        <v>5390.0</v>
      </c>
      <c r="D159" s="17"/>
      <c r="E159" s="37"/>
      <c r="F159" s="26"/>
      <c r="G159" s="17"/>
      <c r="H159" s="23"/>
      <c r="I159" s="26"/>
      <c r="J159" s="1"/>
      <c r="K159" s="19" t="s">
        <v>36</v>
      </c>
      <c r="L159" s="1" t="str">
        <f t="shared" si="1"/>
        <v>#REF!</v>
      </c>
      <c r="M159" s="1" t="str">
        <f t="shared" si="2"/>
        <v>#REF!</v>
      </c>
      <c r="N159" s="1" t="str">
        <f t="shared" si="3"/>
        <v>#REF!</v>
      </c>
    </row>
    <row r="160" ht="15.75" hidden="1" customHeight="1">
      <c r="A160" s="17" t="s">
        <v>1957</v>
      </c>
      <c r="B160" s="23" t="s">
        <v>468</v>
      </c>
      <c r="C160" s="26">
        <v>5390.0</v>
      </c>
      <c r="D160" s="17"/>
      <c r="E160" s="37"/>
      <c r="F160" s="26"/>
      <c r="G160" s="17"/>
      <c r="H160" s="23"/>
      <c r="I160" s="26"/>
      <c r="J160" s="1"/>
      <c r="K160" s="19" t="s">
        <v>36</v>
      </c>
      <c r="L160" s="1" t="str">
        <f t="shared" si="1"/>
        <v>#REF!</v>
      </c>
      <c r="M160" s="1" t="str">
        <f t="shared" si="2"/>
        <v>#REF!</v>
      </c>
      <c r="N160" s="1" t="str">
        <f t="shared" si="3"/>
        <v>#REF!</v>
      </c>
    </row>
    <row r="161" ht="15.75" hidden="1" customHeight="1">
      <c r="A161" s="17" t="s">
        <v>569</v>
      </c>
      <c r="B161" s="23" t="s">
        <v>568</v>
      </c>
      <c r="C161" s="26">
        <v>5390.0</v>
      </c>
      <c r="D161" s="17"/>
      <c r="E161" s="37"/>
      <c r="F161" s="26"/>
      <c r="G161" s="17"/>
      <c r="H161" s="23"/>
      <c r="I161" s="26"/>
      <c r="J161" s="1"/>
      <c r="K161" s="19" t="s">
        <v>36</v>
      </c>
      <c r="L161" s="1" t="str">
        <f t="shared" si="1"/>
        <v>#REF!</v>
      </c>
      <c r="M161" s="1" t="str">
        <f t="shared" si="2"/>
        <v>#REF!</v>
      </c>
      <c r="N161" s="1" t="str">
        <f t="shared" si="3"/>
        <v>#REF!</v>
      </c>
    </row>
    <row r="162" ht="15.75" hidden="1" customHeight="1">
      <c r="A162" s="17" t="s">
        <v>1958</v>
      </c>
      <c r="B162" s="23" t="s">
        <v>1307</v>
      </c>
      <c r="C162" s="26">
        <v>5390.0</v>
      </c>
      <c r="D162" s="17"/>
      <c r="E162" s="37"/>
      <c r="F162" s="26"/>
      <c r="G162" s="17"/>
      <c r="H162" s="23"/>
      <c r="I162" s="26"/>
      <c r="J162" s="1"/>
      <c r="K162" s="19" t="s">
        <v>36</v>
      </c>
      <c r="L162" s="1" t="str">
        <f t="shared" si="1"/>
        <v>#REF!</v>
      </c>
      <c r="M162" s="1" t="str">
        <f t="shared" si="2"/>
        <v>#REF!</v>
      </c>
      <c r="N162" s="1" t="str">
        <f t="shared" si="3"/>
        <v>#REF!</v>
      </c>
    </row>
    <row r="163" ht="15.75" hidden="1" customHeight="1">
      <c r="A163" s="17" t="s">
        <v>1959</v>
      </c>
      <c r="B163" s="23" t="s">
        <v>1196</v>
      </c>
      <c r="C163" s="26">
        <v>5390.0</v>
      </c>
      <c r="D163" s="17"/>
      <c r="E163" s="37"/>
      <c r="F163" s="26"/>
      <c r="G163" s="17"/>
      <c r="H163" s="23"/>
      <c r="I163" s="26"/>
      <c r="J163" s="1"/>
      <c r="K163" s="19" t="s">
        <v>36</v>
      </c>
      <c r="L163" s="1" t="str">
        <f t="shared" si="1"/>
        <v>#REF!</v>
      </c>
      <c r="M163" s="1" t="str">
        <f t="shared" si="2"/>
        <v>#REF!</v>
      </c>
      <c r="N163" s="1" t="str">
        <f t="shared" si="3"/>
        <v>#REF!</v>
      </c>
    </row>
    <row r="164" ht="15.75" hidden="1" customHeight="1">
      <c r="A164" s="17" t="s">
        <v>162</v>
      </c>
      <c r="B164" s="23" t="s">
        <v>161</v>
      </c>
      <c r="C164" s="26">
        <v>5390.0</v>
      </c>
      <c r="D164" s="17"/>
      <c r="E164" s="37"/>
      <c r="F164" s="26"/>
      <c r="G164" s="17"/>
      <c r="H164" s="23"/>
      <c r="I164" s="26"/>
      <c r="J164" s="1"/>
      <c r="K164" s="19" t="s">
        <v>36</v>
      </c>
      <c r="L164" s="1" t="str">
        <f t="shared" si="1"/>
        <v>#REF!</v>
      </c>
      <c r="M164" s="1" t="str">
        <f t="shared" si="2"/>
        <v>#REF!</v>
      </c>
      <c r="N164" s="1" t="str">
        <f t="shared" si="3"/>
        <v>#REF!</v>
      </c>
    </row>
    <row r="165" ht="15.75" hidden="1" customHeight="1">
      <c r="A165" s="17" t="s">
        <v>1357</v>
      </c>
      <c r="B165" s="23" t="s">
        <v>1356</v>
      </c>
      <c r="C165" s="26">
        <v>5390.0</v>
      </c>
      <c r="D165" s="17"/>
      <c r="E165" s="37"/>
      <c r="F165" s="26"/>
      <c r="G165" s="17"/>
      <c r="H165" s="23"/>
      <c r="I165" s="26"/>
      <c r="J165" s="1"/>
      <c r="K165" s="19" t="s">
        <v>36</v>
      </c>
      <c r="L165" s="1" t="str">
        <f t="shared" si="1"/>
        <v>#REF!</v>
      </c>
      <c r="M165" s="1" t="str">
        <f t="shared" si="2"/>
        <v>#REF!</v>
      </c>
      <c r="N165" s="1" t="str">
        <f t="shared" si="3"/>
        <v>#REF!</v>
      </c>
    </row>
    <row r="166" ht="15.75" hidden="1" customHeight="1">
      <c r="A166" s="17" t="s">
        <v>1960</v>
      </c>
      <c r="B166" s="23" t="s">
        <v>602</v>
      </c>
      <c r="C166" s="26">
        <v>0.0</v>
      </c>
      <c r="D166" s="17"/>
      <c r="E166" s="37"/>
      <c r="F166" s="26"/>
      <c r="G166" s="17"/>
      <c r="H166" s="23"/>
      <c r="I166" s="26"/>
      <c r="J166" s="1"/>
      <c r="K166" s="19" t="s">
        <v>36</v>
      </c>
      <c r="L166" s="1" t="str">
        <f t="shared" si="1"/>
        <v>#REF!</v>
      </c>
      <c r="M166" s="1" t="str">
        <f t="shared" si="2"/>
        <v>#REF!</v>
      </c>
      <c r="N166" s="1" t="str">
        <f t="shared" si="3"/>
        <v>#REF!</v>
      </c>
    </row>
    <row r="167" ht="15.75" hidden="1" customHeight="1">
      <c r="A167" s="17" t="s">
        <v>1961</v>
      </c>
      <c r="B167" s="23" t="s">
        <v>381</v>
      </c>
      <c r="C167" s="26">
        <v>6000.0</v>
      </c>
      <c r="D167" s="17"/>
      <c r="E167" s="37">
        <v>800.0</v>
      </c>
      <c r="F167" s="26"/>
      <c r="G167" s="17"/>
      <c r="H167" s="23"/>
      <c r="I167" s="26"/>
      <c r="J167" s="1"/>
      <c r="K167" s="10" t="s">
        <v>13</v>
      </c>
      <c r="L167" s="1" t="str">
        <f t="shared" si="1"/>
        <v>#REF!</v>
      </c>
      <c r="M167" s="1" t="str">
        <f t="shared" si="2"/>
        <v>#REF!</v>
      </c>
      <c r="N167" s="1" t="str">
        <f t="shared" si="3"/>
        <v>#REF!</v>
      </c>
    </row>
    <row r="168" ht="15.75" hidden="1" customHeight="1">
      <c r="A168" s="17" t="s">
        <v>1962</v>
      </c>
      <c r="B168" s="23" t="s">
        <v>123</v>
      </c>
      <c r="C168" s="26">
        <v>6000.0</v>
      </c>
      <c r="D168" s="17"/>
      <c r="E168" s="37">
        <v>800.0</v>
      </c>
      <c r="F168" s="26"/>
      <c r="G168" s="17"/>
      <c r="H168" s="23"/>
      <c r="I168" s="26"/>
      <c r="J168" s="1"/>
      <c r="K168" s="10" t="s">
        <v>13</v>
      </c>
      <c r="L168" s="1" t="str">
        <f t="shared" si="1"/>
        <v>#REF!</v>
      </c>
      <c r="M168" s="1" t="str">
        <f t="shared" si="2"/>
        <v>#REF!</v>
      </c>
      <c r="N168" s="1" t="str">
        <f t="shared" si="3"/>
        <v>#REF!</v>
      </c>
    </row>
    <row r="169" ht="15.75" hidden="1" customHeight="1">
      <c r="A169" s="17" t="s">
        <v>1963</v>
      </c>
      <c r="B169" s="23" t="s">
        <v>810</v>
      </c>
      <c r="C169" s="26">
        <v>6000.0</v>
      </c>
      <c r="D169" s="17"/>
      <c r="E169" s="37">
        <v>800.0</v>
      </c>
      <c r="F169" s="26"/>
      <c r="G169" s="17"/>
      <c r="H169" s="23"/>
      <c r="I169" s="26"/>
      <c r="J169" s="1"/>
      <c r="K169" s="10" t="s">
        <v>13</v>
      </c>
      <c r="L169" s="1" t="str">
        <f t="shared" si="1"/>
        <v>#REF!</v>
      </c>
      <c r="M169" s="1" t="str">
        <f t="shared" si="2"/>
        <v>#REF!</v>
      </c>
      <c r="N169" s="1" t="str">
        <f t="shared" si="3"/>
        <v>#REF!</v>
      </c>
    </row>
    <row r="170" ht="15.75" hidden="1" customHeight="1">
      <c r="A170" s="17" t="s">
        <v>1964</v>
      </c>
      <c r="B170" s="23" t="s">
        <v>1177</v>
      </c>
      <c r="C170" s="26">
        <v>6000.0</v>
      </c>
      <c r="D170" s="17"/>
      <c r="E170" s="37">
        <v>800.0</v>
      </c>
      <c r="F170" s="26"/>
      <c r="G170" s="17"/>
      <c r="H170" s="23"/>
      <c r="I170" s="26"/>
      <c r="J170" s="1"/>
      <c r="K170" s="10" t="s">
        <v>13</v>
      </c>
      <c r="L170" s="1" t="str">
        <f t="shared" si="1"/>
        <v>#REF!</v>
      </c>
      <c r="M170" s="1" t="str">
        <f t="shared" si="2"/>
        <v>#REF!</v>
      </c>
      <c r="N170" s="1" t="str">
        <f t="shared" si="3"/>
        <v>#REF!</v>
      </c>
    </row>
    <row r="171" ht="15.75" hidden="1" customHeight="1">
      <c r="A171" s="17" t="s">
        <v>1965</v>
      </c>
      <c r="B171" s="23" t="s">
        <v>792</v>
      </c>
      <c r="C171" s="26">
        <v>6000.0</v>
      </c>
      <c r="D171" s="17"/>
      <c r="E171" s="37">
        <v>800.0</v>
      </c>
      <c r="F171" s="26"/>
      <c r="G171" s="17"/>
      <c r="H171" s="23"/>
      <c r="I171" s="26"/>
      <c r="J171" s="1"/>
      <c r="K171" s="10" t="s">
        <v>13</v>
      </c>
      <c r="L171" s="1" t="str">
        <f t="shared" si="1"/>
        <v>#REF!</v>
      </c>
      <c r="M171" s="1" t="str">
        <f t="shared" si="2"/>
        <v>#REF!</v>
      </c>
      <c r="N171" s="1" t="str">
        <f t="shared" si="3"/>
        <v>#REF!</v>
      </c>
    </row>
    <row r="172" ht="15.75" hidden="1" customHeight="1">
      <c r="A172" s="17" t="s">
        <v>1966</v>
      </c>
      <c r="B172" s="23" t="s">
        <v>1121</v>
      </c>
      <c r="C172" s="26">
        <v>6000.0</v>
      </c>
      <c r="D172" s="17"/>
      <c r="E172" s="37">
        <v>800.0</v>
      </c>
      <c r="F172" s="26"/>
      <c r="G172" s="17"/>
      <c r="H172" s="23"/>
      <c r="I172" s="26"/>
      <c r="J172" s="1"/>
      <c r="K172" s="10" t="s">
        <v>13</v>
      </c>
      <c r="L172" s="1" t="str">
        <f t="shared" si="1"/>
        <v>#REF!</v>
      </c>
      <c r="M172" s="1" t="str">
        <f t="shared" si="2"/>
        <v>#REF!</v>
      </c>
      <c r="N172" s="1" t="str">
        <f t="shared" si="3"/>
        <v>#REF!</v>
      </c>
    </row>
    <row r="173" ht="15.75" hidden="1" customHeight="1">
      <c r="A173" s="17" t="s">
        <v>1967</v>
      </c>
      <c r="B173" s="23" t="s">
        <v>572</v>
      </c>
      <c r="C173" s="26">
        <v>6000.0</v>
      </c>
      <c r="D173" s="17"/>
      <c r="E173" s="37">
        <v>800.0</v>
      </c>
      <c r="F173" s="26"/>
      <c r="G173" s="17"/>
      <c r="H173" s="23"/>
      <c r="I173" s="26"/>
      <c r="J173" s="1"/>
      <c r="K173" s="10" t="s">
        <v>13</v>
      </c>
      <c r="L173" s="1" t="str">
        <f t="shared" si="1"/>
        <v>#REF!</v>
      </c>
      <c r="M173" s="1" t="str">
        <f t="shared" si="2"/>
        <v>#REF!</v>
      </c>
      <c r="N173" s="1" t="str">
        <f t="shared" si="3"/>
        <v>#REF!</v>
      </c>
    </row>
    <row r="174" ht="15.75" hidden="1" customHeight="1">
      <c r="A174" s="17" t="s">
        <v>1968</v>
      </c>
      <c r="B174" s="23" t="s">
        <v>912</v>
      </c>
      <c r="C174" s="26">
        <v>6000.0</v>
      </c>
      <c r="D174" s="17"/>
      <c r="E174" s="37">
        <v>800.0</v>
      </c>
      <c r="F174" s="26"/>
      <c r="G174" s="17"/>
      <c r="H174" s="23"/>
      <c r="I174" s="26"/>
      <c r="J174" s="1"/>
      <c r="K174" s="10" t="s">
        <v>13</v>
      </c>
      <c r="L174" s="1" t="str">
        <f t="shared" si="1"/>
        <v>#REF!</v>
      </c>
      <c r="M174" s="1" t="str">
        <f t="shared" si="2"/>
        <v>#REF!</v>
      </c>
      <c r="N174" s="1" t="str">
        <f t="shared" si="3"/>
        <v>#REF!</v>
      </c>
    </row>
    <row r="175" ht="15.75" hidden="1" customHeight="1">
      <c r="A175" s="17" t="s">
        <v>1969</v>
      </c>
      <c r="B175" s="23" t="s">
        <v>1030</v>
      </c>
      <c r="C175" s="26">
        <v>6000.0</v>
      </c>
      <c r="D175" s="17"/>
      <c r="E175" s="37">
        <v>800.0</v>
      </c>
      <c r="F175" s="26"/>
      <c r="G175" s="17"/>
      <c r="H175" s="23"/>
      <c r="I175" s="26"/>
      <c r="J175" s="1"/>
      <c r="K175" s="10" t="s">
        <v>13</v>
      </c>
      <c r="L175" s="1" t="str">
        <f t="shared" si="1"/>
        <v>#REF!</v>
      </c>
      <c r="M175" s="1" t="str">
        <f t="shared" si="2"/>
        <v>#REF!</v>
      </c>
      <c r="N175" s="1" t="str">
        <f t="shared" si="3"/>
        <v>#REF!</v>
      </c>
    </row>
    <row r="176" ht="15.75" hidden="1" customHeight="1">
      <c r="A176" s="17" t="s">
        <v>1970</v>
      </c>
      <c r="B176" s="23" t="s">
        <v>283</v>
      </c>
      <c r="C176" s="26">
        <v>6000.0</v>
      </c>
      <c r="D176" s="17"/>
      <c r="E176" s="37">
        <v>800.0</v>
      </c>
      <c r="F176" s="26"/>
      <c r="G176" s="17"/>
      <c r="H176" s="23"/>
      <c r="I176" s="26"/>
      <c r="J176" s="1"/>
      <c r="K176" s="10" t="s">
        <v>13</v>
      </c>
      <c r="L176" s="1" t="str">
        <f t="shared" si="1"/>
        <v>#REF!</v>
      </c>
      <c r="M176" s="1" t="str">
        <f t="shared" si="2"/>
        <v>#REF!</v>
      </c>
      <c r="N176" s="1" t="str">
        <f t="shared" si="3"/>
        <v>#REF!</v>
      </c>
    </row>
    <row r="177" ht="15.75" hidden="1" customHeight="1">
      <c r="A177" s="17" t="s">
        <v>1971</v>
      </c>
      <c r="B177" s="23" t="s">
        <v>1019</v>
      </c>
      <c r="C177" s="26">
        <v>6000.0</v>
      </c>
      <c r="D177" s="17"/>
      <c r="E177" s="37">
        <v>800.0</v>
      </c>
      <c r="F177" s="26"/>
      <c r="G177" s="17"/>
      <c r="H177" s="23"/>
      <c r="I177" s="26"/>
      <c r="J177" s="1"/>
      <c r="K177" s="10" t="s">
        <v>13</v>
      </c>
      <c r="L177" s="1" t="str">
        <f t="shared" si="1"/>
        <v>#REF!</v>
      </c>
      <c r="M177" s="1" t="str">
        <f t="shared" si="2"/>
        <v>#REF!</v>
      </c>
      <c r="N177" s="1" t="str">
        <f t="shared" si="3"/>
        <v>#REF!</v>
      </c>
    </row>
    <row r="178" ht="15.75" hidden="1" customHeight="1">
      <c r="A178" s="17" t="s">
        <v>1972</v>
      </c>
      <c r="B178" s="23" t="s">
        <v>794</v>
      </c>
      <c r="C178" s="26">
        <v>6000.0</v>
      </c>
      <c r="D178" s="17"/>
      <c r="E178" s="37">
        <v>800.0</v>
      </c>
      <c r="F178" s="26"/>
      <c r="G178" s="17"/>
      <c r="H178" s="23"/>
      <c r="I178" s="26"/>
      <c r="J178" s="1"/>
      <c r="K178" s="10" t="s">
        <v>13</v>
      </c>
      <c r="L178" s="1" t="str">
        <f t="shared" si="1"/>
        <v>#REF!</v>
      </c>
      <c r="M178" s="1" t="str">
        <f t="shared" si="2"/>
        <v>#REF!</v>
      </c>
      <c r="N178" s="1" t="str">
        <f t="shared" si="3"/>
        <v>#REF!</v>
      </c>
    </row>
    <row r="179" ht="15.75" hidden="1" customHeight="1">
      <c r="A179" s="17" t="s">
        <v>1973</v>
      </c>
      <c r="B179" s="23" t="s">
        <v>1309</v>
      </c>
      <c r="C179" s="26">
        <v>6000.0</v>
      </c>
      <c r="D179" s="17"/>
      <c r="E179" s="37">
        <v>800.0</v>
      </c>
      <c r="F179" s="26"/>
      <c r="G179" s="17"/>
      <c r="H179" s="23"/>
      <c r="I179" s="26"/>
      <c r="J179" s="1"/>
      <c r="K179" s="10" t="s">
        <v>13</v>
      </c>
      <c r="L179" s="1" t="str">
        <f t="shared" si="1"/>
        <v>#REF!</v>
      </c>
      <c r="M179" s="1" t="str">
        <f t="shared" si="2"/>
        <v>#REF!</v>
      </c>
      <c r="N179" s="1" t="str">
        <f t="shared" si="3"/>
        <v>#REF!</v>
      </c>
    </row>
    <row r="180" ht="15.75" hidden="1" customHeight="1">
      <c r="A180" s="17" t="s">
        <v>1974</v>
      </c>
      <c r="B180" s="23" t="s">
        <v>1250</v>
      </c>
      <c r="C180" s="26">
        <v>6000.0</v>
      </c>
      <c r="D180" s="17"/>
      <c r="E180" s="37">
        <v>800.0</v>
      </c>
      <c r="F180" s="26"/>
      <c r="G180" s="17"/>
      <c r="H180" s="23"/>
      <c r="I180" s="26"/>
      <c r="J180" s="1"/>
      <c r="K180" s="10" t="s">
        <v>13</v>
      </c>
      <c r="L180" s="1" t="str">
        <f t="shared" si="1"/>
        <v>#REF!</v>
      </c>
      <c r="M180" s="1" t="str">
        <f t="shared" si="2"/>
        <v>#REF!</v>
      </c>
      <c r="N180" s="1" t="str">
        <f t="shared" si="3"/>
        <v>#REF!</v>
      </c>
    </row>
    <row r="181" ht="15.75" hidden="1" customHeight="1">
      <c r="A181" s="17" t="s">
        <v>1975</v>
      </c>
      <c r="B181" s="23" t="s">
        <v>1317</v>
      </c>
      <c r="C181" s="26">
        <v>6000.0</v>
      </c>
      <c r="D181" s="17"/>
      <c r="E181" s="37">
        <v>800.0</v>
      </c>
      <c r="F181" s="26"/>
      <c r="G181" s="17"/>
      <c r="H181" s="23"/>
      <c r="I181" s="26"/>
      <c r="J181" s="40"/>
      <c r="K181" s="10" t="s">
        <v>13</v>
      </c>
      <c r="L181" s="1" t="str">
        <f t="shared" si="1"/>
        <v>#REF!</v>
      </c>
      <c r="M181" s="1" t="str">
        <f t="shared" si="2"/>
        <v>#REF!</v>
      </c>
      <c r="N181" s="1" t="str">
        <f t="shared" si="3"/>
        <v>#REF!</v>
      </c>
    </row>
    <row r="182" ht="15.75" hidden="1" customHeight="1">
      <c r="A182" s="17" t="s">
        <v>1976</v>
      </c>
      <c r="B182" s="23" t="s">
        <v>80</v>
      </c>
      <c r="C182" s="26">
        <v>6000.0</v>
      </c>
      <c r="D182" s="17"/>
      <c r="E182" s="37">
        <v>800.0</v>
      </c>
      <c r="F182" s="26"/>
      <c r="G182" s="17"/>
      <c r="H182" s="23"/>
      <c r="I182" s="26"/>
      <c r="J182" s="1"/>
      <c r="K182" s="10" t="s">
        <v>13</v>
      </c>
      <c r="L182" s="1" t="str">
        <f t="shared" si="1"/>
        <v>#REF!</v>
      </c>
      <c r="M182" s="1" t="str">
        <f t="shared" si="2"/>
        <v>#REF!</v>
      </c>
      <c r="N182" s="1" t="str">
        <f t="shared" si="3"/>
        <v>#REF!</v>
      </c>
    </row>
    <row r="183" ht="15.75" hidden="1" customHeight="1">
      <c r="A183" s="17" t="s">
        <v>997</v>
      </c>
      <c r="B183" s="23" t="s">
        <v>996</v>
      </c>
      <c r="C183" s="26">
        <v>6000.0</v>
      </c>
      <c r="D183" s="17"/>
      <c r="E183" s="37">
        <v>800.0</v>
      </c>
      <c r="F183" s="26"/>
      <c r="G183" s="17"/>
      <c r="H183" s="23"/>
      <c r="I183" s="26"/>
      <c r="J183" s="1"/>
      <c r="K183" s="10" t="s">
        <v>13</v>
      </c>
      <c r="L183" s="1" t="str">
        <f t="shared" si="1"/>
        <v>#REF!</v>
      </c>
      <c r="M183" s="1" t="str">
        <f t="shared" si="2"/>
        <v>#REF!</v>
      </c>
      <c r="N183" s="1" t="str">
        <f t="shared" si="3"/>
        <v>#REF!</v>
      </c>
    </row>
    <row r="184" ht="15.75" hidden="1" customHeight="1">
      <c r="A184" s="17" t="s">
        <v>1977</v>
      </c>
      <c r="B184" s="23" t="s">
        <v>240</v>
      </c>
      <c r="C184" s="26">
        <v>6000.0</v>
      </c>
      <c r="D184" s="17"/>
      <c r="E184" s="37">
        <v>800.0</v>
      </c>
      <c r="F184" s="26"/>
      <c r="G184" s="17"/>
      <c r="H184" s="23"/>
      <c r="I184" s="26"/>
      <c r="J184" s="1"/>
      <c r="K184" s="10" t="s">
        <v>13</v>
      </c>
      <c r="L184" s="1" t="str">
        <f t="shared" si="1"/>
        <v>#REF!</v>
      </c>
      <c r="M184" s="1" t="str">
        <f t="shared" si="2"/>
        <v>#REF!</v>
      </c>
      <c r="N184" s="1" t="str">
        <f t="shared" si="3"/>
        <v>#REF!</v>
      </c>
    </row>
    <row r="185" ht="15.75" hidden="1" customHeight="1">
      <c r="A185" s="17" t="s">
        <v>52</v>
      </c>
      <c r="B185" s="23" t="s">
        <v>55</v>
      </c>
      <c r="C185" s="26">
        <v>6000.0</v>
      </c>
      <c r="D185" s="17"/>
      <c r="E185" s="37">
        <v>800.0</v>
      </c>
      <c r="F185" s="26"/>
      <c r="G185" s="17"/>
      <c r="H185" s="23"/>
      <c r="I185" s="26"/>
      <c r="J185" s="1"/>
      <c r="K185" s="10" t="s">
        <v>13</v>
      </c>
      <c r="L185" s="1" t="str">
        <f t="shared" si="1"/>
        <v>#REF!</v>
      </c>
      <c r="M185" s="1" t="str">
        <f t="shared" si="2"/>
        <v>#REF!</v>
      </c>
      <c r="N185" s="1" t="str">
        <f t="shared" si="3"/>
        <v>#REF!</v>
      </c>
    </row>
    <row r="186" ht="15.75" hidden="1" customHeight="1">
      <c r="A186" s="17" t="s">
        <v>1978</v>
      </c>
      <c r="B186" s="23" t="s">
        <v>1061</v>
      </c>
      <c r="C186" s="26">
        <v>6000.0</v>
      </c>
      <c r="D186" s="17"/>
      <c r="E186" s="37">
        <v>800.0</v>
      </c>
      <c r="F186" s="26"/>
      <c r="G186" s="17"/>
      <c r="H186" s="23"/>
      <c r="I186" s="26"/>
      <c r="J186" s="1"/>
      <c r="K186" s="10" t="s">
        <v>13</v>
      </c>
      <c r="L186" s="1" t="str">
        <f t="shared" si="1"/>
        <v>#REF!</v>
      </c>
      <c r="M186" s="1" t="str">
        <f t="shared" si="2"/>
        <v>#REF!</v>
      </c>
      <c r="N186" s="1" t="str">
        <f t="shared" si="3"/>
        <v>#REF!</v>
      </c>
    </row>
    <row r="187" ht="15.75" hidden="1" customHeight="1">
      <c r="A187" s="17" t="s">
        <v>1979</v>
      </c>
      <c r="B187" s="23" t="s">
        <v>347</v>
      </c>
      <c r="C187" s="26">
        <v>6000.0</v>
      </c>
      <c r="D187" s="17"/>
      <c r="E187" s="37">
        <v>800.0</v>
      </c>
      <c r="F187" s="26"/>
      <c r="G187" s="17"/>
      <c r="H187" s="23"/>
      <c r="I187" s="26"/>
      <c r="J187" s="1"/>
      <c r="K187" s="10" t="s">
        <v>13</v>
      </c>
      <c r="L187" s="1" t="str">
        <f t="shared" si="1"/>
        <v>#REF!</v>
      </c>
      <c r="M187" s="1" t="str">
        <f t="shared" si="2"/>
        <v>#REF!</v>
      </c>
      <c r="N187" s="1" t="str">
        <f t="shared" si="3"/>
        <v>#REF!</v>
      </c>
    </row>
    <row r="188" ht="15.75" hidden="1" customHeight="1">
      <c r="A188" s="17" t="s">
        <v>1980</v>
      </c>
      <c r="B188" s="23" t="s">
        <v>570</v>
      </c>
      <c r="C188" s="26">
        <v>6000.0</v>
      </c>
      <c r="D188" s="17"/>
      <c r="E188" s="37">
        <v>800.0</v>
      </c>
      <c r="F188" s="26"/>
      <c r="G188" s="17"/>
      <c r="H188" s="23"/>
      <c r="I188" s="26"/>
      <c r="J188" s="1"/>
      <c r="K188" s="10" t="s">
        <v>13</v>
      </c>
      <c r="L188" s="1" t="str">
        <f t="shared" si="1"/>
        <v>#REF!</v>
      </c>
      <c r="M188" s="1" t="str">
        <f t="shared" si="2"/>
        <v>#REF!</v>
      </c>
      <c r="N188" s="1" t="str">
        <f t="shared" si="3"/>
        <v>#REF!</v>
      </c>
    </row>
    <row r="189" ht="15.75" hidden="1" customHeight="1">
      <c r="A189" s="17" t="s">
        <v>1981</v>
      </c>
      <c r="B189" s="23" t="s">
        <v>965</v>
      </c>
      <c r="C189" s="26">
        <v>6000.0</v>
      </c>
      <c r="D189" s="17"/>
      <c r="E189" s="37">
        <v>800.0</v>
      </c>
      <c r="F189" s="26"/>
      <c r="G189" s="17"/>
      <c r="H189" s="23"/>
      <c r="I189" s="26"/>
      <c r="J189" s="1"/>
      <c r="K189" s="10" t="s">
        <v>13</v>
      </c>
      <c r="L189" s="1" t="str">
        <f t="shared" si="1"/>
        <v>#REF!</v>
      </c>
      <c r="M189" s="1" t="str">
        <f t="shared" si="2"/>
        <v>#REF!</v>
      </c>
      <c r="N189" s="1" t="str">
        <f t="shared" si="3"/>
        <v>#REF!</v>
      </c>
    </row>
    <row r="190" ht="15.75" hidden="1" customHeight="1">
      <c r="A190" s="17" t="s">
        <v>1982</v>
      </c>
      <c r="B190" s="23" t="s">
        <v>1021</v>
      </c>
      <c r="C190" s="26">
        <v>6000.0</v>
      </c>
      <c r="D190" s="17"/>
      <c r="E190" s="37">
        <v>800.0</v>
      </c>
      <c r="F190" s="26"/>
      <c r="G190" s="17"/>
      <c r="H190" s="23"/>
      <c r="I190" s="26"/>
      <c r="J190" s="1"/>
      <c r="K190" s="10" t="s">
        <v>13</v>
      </c>
      <c r="L190" s="1" t="str">
        <f t="shared" si="1"/>
        <v>#REF!</v>
      </c>
      <c r="M190" s="1" t="str">
        <f t="shared" si="2"/>
        <v>#REF!</v>
      </c>
      <c r="N190" s="1" t="str">
        <f t="shared" si="3"/>
        <v>#REF!</v>
      </c>
    </row>
    <row r="191" ht="15.75" hidden="1" customHeight="1">
      <c r="A191" s="17" t="s">
        <v>1983</v>
      </c>
      <c r="B191" s="23" t="s">
        <v>721</v>
      </c>
      <c r="C191" s="26">
        <v>6000.0</v>
      </c>
      <c r="D191" s="17"/>
      <c r="E191" s="37">
        <v>800.0</v>
      </c>
      <c r="F191" s="26"/>
      <c r="G191" s="17"/>
      <c r="H191" s="23"/>
      <c r="I191" s="26"/>
      <c r="J191" s="1"/>
      <c r="K191" s="10" t="s">
        <v>13</v>
      </c>
      <c r="L191" s="1" t="str">
        <f t="shared" si="1"/>
        <v>#REF!</v>
      </c>
      <c r="M191" s="1" t="str">
        <f t="shared" si="2"/>
        <v>#REF!</v>
      </c>
      <c r="N191" s="1" t="str">
        <f t="shared" si="3"/>
        <v>#REF!</v>
      </c>
    </row>
    <row r="192" ht="15.75" hidden="1" customHeight="1">
      <c r="A192" s="17" t="s">
        <v>1984</v>
      </c>
      <c r="B192" s="23" t="s">
        <v>189</v>
      </c>
      <c r="C192" s="26">
        <v>6000.0</v>
      </c>
      <c r="D192" s="17"/>
      <c r="E192" s="37">
        <v>800.0</v>
      </c>
      <c r="F192" s="26"/>
      <c r="G192" s="17"/>
      <c r="H192" s="23"/>
      <c r="I192" s="26"/>
      <c r="J192" s="1"/>
      <c r="K192" s="10" t="s">
        <v>13</v>
      </c>
      <c r="L192" s="1" t="str">
        <f t="shared" si="1"/>
        <v>#REF!</v>
      </c>
      <c r="M192" s="1" t="str">
        <f t="shared" si="2"/>
        <v>#REF!</v>
      </c>
      <c r="N192" s="1" t="str">
        <f t="shared" si="3"/>
        <v>#REF!</v>
      </c>
    </row>
    <row r="193" ht="15.75" hidden="1" customHeight="1">
      <c r="A193" s="17" t="s">
        <v>1985</v>
      </c>
      <c r="B193" s="23" t="s">
        <v>1883</v>
      </c>
      <c r="C193" s="26">
        <v>6000.0</v>
      </c>
      <c r="D193" s="17"/>
      <c r="E193" s="37">
        <v>800.0</v>
      </c>
      <c r="F193" s="26"/>
      <c r="G193" s="17"/>
      <c r="H193" s="23"/>
      <c r="I193" s="26"/>
      <c r="J193" s="1"/>
      <c r="K193" s="10" t="s">
        <v>13</v>
      </c>
      <c r="L193" s="1" t="str">
        <f t="shared" si="1"/>
        <v>#REF!</v>
      </c>
      <c r="M193" s="1" t="str">
        <f t="shared" si="2"/>
        <v>#REF!</v>
      </c>
      <c r="N193" s="1" t="str">
        <f t="shared" si="3"/>
        <v>#REF!</v>
      </c>
    </row>
    <row r="194" ht="15.75" hidden="1" customHeight="1">
      <c r="A194" s="17" t="s">
        <v>1986</v>
      </c>
      <c r="B194" s="23" t="s">
        <v>746</v>
      </c>
      <c r="C194" s="26">
        <v>6000.0</v>
      </c>
      <c r="D194" s="17"/>
      <c r="E194" s="37">
        <v>800.0</v>
      </c>
      <c r="F194" s="26"/>
      <c r="G194" s="17"/>
      <c r="H194" s="23"/>
      <c r="I194" s="26"/>
      <c r="J194" s="1"/>
      <c r="K194" s="10" t="s">
        <v>13</v>
      </c>
      <c r="L194" s="1" t="str">
        <f t="shared" si="1"/>
        <v>#REF!</v>
      </c>
      <c r="M194" s="1" t="str">
        <f t="shared" si="2"/>
        <v>#REF!</v>
      </c>
      <c r="N194" s="1" t="str">
        <f t="shared" si="3"/>
        <v>#REF!</v>
      </c>
    </row>
    <row r="195" ht="15.75" hidden="1" customHeight="1">
      <c r="A195" s="17" t="s">
        <v>1987</v>
      </c>
      <c r="B195" s="23" t="s">
        <v>840</v>
      </c>
      <c r="C195" s="26">
        <v>6000.0</v>
      </c>
      <c r="D195" s="17"/>
      <c r="E195" s="37">
        <v>800.0</v>
      </c>
      <c r="F195" s="26"/>
      <c r="G195" s="17"/>
      <c r="H195" s="23"/>
      <c r="I195" s="26"/>
      <c r="J195" s="1"/>
      <c r="K195" s="10" t="s">
        <v>13</v>
      </c>
      <c r="L195" s="1" t="str">
        <f t="shared" si="1"/>
        <v>#REF!</v>
      </c>
      <c r="M195" s="1" t="str">
        <f t="shared" si="2"/>
        <v>#REF!</v>
      </c>
      <c r="N195" s="1" t="str">
        <f t="shared" si="3"/>
        <v>#REF!</v>
      </c>
    </row>
    <row r="196" ht="15.75" hidden="1" customHeight="1">
      <c r="A196" s="17" t="s">
        <v>1988</v>
      </c>
      <c r="B196" s="23" t="s">
        <v>1989</v>
      </c>
      <c r="C196" s="26">
        <v>6000.0</v>
      </c>
      <c r="D196" s="17"/>
      <c r="E196" s="37">
        <v>800.0</v>
      </c>
      <c r="F196" s="37"/>
      <c r="G196" s="37"/>
      <c r="H196" s="37"/>
      <c r="I196" s="37"/>
      <c r="J196" s="1"/>
      <c r="K196" s="10" t="s">
        <v>13</v>
      </c>
      <c r="L196" s="1" t="str">
        <f t="shared" si="1"/>
        <v>#REF!</v>
      </c>
      <c r="M196" s="1" t="str">
        <f t="shared" si="2"/>
        <v>#REF!</v>
      </c>
      <c r="N196" s="1" t="str">
        <f t="shared" si="3"/>
        <v>#REF!</v>
      </c>
    </row>
    <row r="197" ht="15.75" hidden="1" customHeight="1">
      <c r="A197" s="17" t="s">
        <v>1990</v>
      </c>
      <c r="B197" s="23" t="s">
        <v>1151</v>
      </c>
      <c r="C197" s="26">
        <v>6000.0</v>
      </c>
      <c r="D197" s="17"/>
      <c r="E197" s="37">
        <v>800.0</v>
      </c>
      <c r="F197" s="37"/>
      <c r="G197" s="37"/>
      <c r="H197" s="37"/>
      <c r="I197" s="37"/>
      <c r="J197" s="1"/>
      <c r="K197" s="10" t="s">
        <v>13</v>
      </c>
      <c r="L197" s="1" t="str">
        <f t="shared" si="1"/>
        <v>#REF!</v>
      </c>
      <c r="M197" s="1" t="str">
        <f t="shared" si="2"/>
        <v>#REF!</v>
      </c>
      <c r="N197" s="1" t="str">
        <f t="shared" si="3"/>
        <v>#REF!</v>
      </c>
    </row>
    <row r="198" ht="15.75" hidden="1" customHeight="1">
      <c r="A198" s="17" t="s">
        <v>1991</v>
      </c>
      <c r="B198" s="23" t="s">
        <v>1105</v>
      </c>
      <c r="C198" s="26">
        <v>6000.0</v>
      </c>
      <c r="D198" s="17"/>
      <c r="E198" s="37">
        <v>800.0</v>
      </c>
      <c r="F198" s="37"/>
      <c r="G198" s="37"/>
      <c r="H198" s="37"/>
      <c r="I198" s="37">
        <v>36250.0</v>
      </c>
      <c r="J198" s="1"/>
      <c r="K198" s="10" t="s">
        <v>13</v>
      </c>
      <c r="L198" s="1" t="str">
        <f t="shared" si="1"/>
        <v>#REF!</v>
      </c>
      <c r="M198" s="1" t="str">
        <f t="shared" si="2"/>
        <v>#REF!</v>
      </c>
      <c r="N198" s="1" t="str">
        <f t="shared" si="3"/>
        <v>#REF!</v>
      </c>
    </row>
    <row r="199" ht="15.75" hidden="1" customHeight="1">
      <c r="A199" s="17" t="s">
        <v>1992</v>
      </c>
      <c r="B199" s="23" t="s">
        <v>1139</v>
      </c>
      <c r="C199" s="26">
        <v>6000.0</v>
      </c>
      <c r="D199" s="17"/>
      <c r="E199" s="37">
        <v>800.0</v>
      </c>
      <c r="F199" s="37">
        <v>87733.0</v>
      </c>
      <c r="G199" s="37"/>
      <c r="H199" s="37"/>
      <c r="I199" s="37"/>
      <c r="J199" s="1"/>
      <c r="K199" s="10" t="s">
        <v>13</v>
      </c>
      <c r="L199" s="1" t="str">
        <f t="shared" si="1"/>
        <v>#REF!</v>
      </c>
      <c r="M199" s="1" t="str">
        <f t="shared" si="2"/>
        <v>#REF!</v>
      </c>
      <c r="N199" s="1" t="str">
        <f t="shared" si="3"/>
        <v>#REF!</v>
      </c>
    </row>
    <row r="200" ht="15.75" hidden="1" customHeight="1">
      <c r="A200" s="17" t="s">
        <v>1993</v>
      </c>
      <c r="B200" s="23" t="s">
        <v>234</v>
      </c>
      <c r="C200" s="26">
        <v>6000.0</v>
      </c>
      <c r="D200" s="17"/>
      <c r="E200" s="37">
        <v>800.0</v>
      </c>
      <c r="F200" s="37"/>
      <c r="G200" s="37"/>
      <c r="H200" s="37"/>
      <c r="I200" s="37"/>
      <c r="J200" s="1"/>
      <c r="K200" s="10" t="s">
        <v>13</v>
      </c>
      <c r="L200" s="1" t="str">
        <f t="shared" si="1"/>
        <v>#REF!</v>
      </c>
      <c r="M200" s="1" t="str">
        <f t="shared" si="2"/>
        <v>#REF!</v>
      </c>
      <c r="N200" s="1" t="str">
        <f t="shared" si="3"/>
        <v>#REF!</v>
      </c>
    </row>
    <row r="201" ht="15.75" hidden="1" customHeight="1">
      <c r="A201" s="17" t="s">
        <v>1994</v>
      </c>
      <c r="B201" s="23" t="s">
        <v>1751</v>
      </c>
      <c r="C201" s="26">
        <v>6000.0</v>
      </c>
      <c r="D201" s="17"/>
      <c r="E201" s="37">
        <v>800.0</v>
      </c>
      <c r="F201" s="37"/>
      <c r="G201" s="37"/>
      <c r="H201" s="37"/>
      <c r="I201" s="37"/>
      <c r="J201" s="1"/>
      <c r="K201" s="10" t="s">
        <v>13</v>
      </c>
      <c r="L201" s="1" t="str">
        <f t="shared" si="1"/>
        <v>#REF!</v>
      </c>
      <c r="M201" s="1" t="str">
        <f t="shared" si="2"/>
        <v>#REF!</v>
      </c>
      <c r="N201" s="1" t="str">
        <f t="shared" si="3"/>
        <v>#REF!</v>
      </c>
    </row>
    <row r="202" ht="15.75" hidden="1" customHeight="1">
      <c r="A202" s="17" t="s">
        <v>1995</v>
      </c>
      <c r="B202" s="23" t="s">
        <v>479</v>
      </c>
      <c r="C202" s="26">
        <v>6000.0</v>
      </c>
      <c r="D202" s="17"/>
      <c r="E202" s="37">
        <v>800.0</v>
      </c>
      <c r="F202" s="37"/>
      <c r="G202" s="37"/>
      <c r="H202" s="37"/>
      <c r="I202" s="37"/>
      <c r="J202" s="1"/>
      <c r="K202" s="10" t="s">
        <v>13</v>
      </c>
      <c r="L202" s="1" t="str">
        <f t="shared" si="1"/>
        <v>#REF!</v>
      </c>
      <c r="M202" s="1" t="str">
        <f t="shared" si="2"/>
        <v>#REF!</v>
      </c>
      <c r="N202" s="1" t="str">
        <f t="shared" si="3"/>
        <v>#REF!</v>
      </c>
    </row>
    <row r="203" ht="15.75" hidden="1" customHeight="1">
      <c r="A203" s="17" t="s">
        <v>1996</v>
      </c>
      <c r="B203" s="23" t="s">
        <v>119</v>
      </c>
      <c r="C203" s="26">
        <v>6000.0</v>
      </c>
      <c r="D203" s="17"/>
      <c r="E203" s="37">
        <v>800.0</v>
      </c>
      <c r="F203" s="37"/>
      <c r="G203" s="37"/>
      <c r="H203" s="37"/>
      <c r="I203" s="37"/>
      <c r="J203" s="1"/>
      <c r="K203" s="10" t="s">
        <v>13</v>
      </c>
      <c r="L203" s="1" t="str">
        <f t="shared" si="1"/>
        <v>#REF!</v>
      </c>
      <c r="M203" s="1" t="str">
        <f t="shared" si="2"/>
        <v>#REF!</v>
      </c>
      <c r="N203" s="1" t="str">
        <f t="shared" si="3"/>
        <v>#REF!</v>
      </c>
    </row>
    <row r="204" ht="15.75" hidden="1" customHeight="1">
      <c r="A204" s="17" t="s">
        <v>1997</v>
      </c>
      <c r="B204" s="23" t="s">
        <v>1186</v>
      </c>
      <c r="C204" s="26">
        <v>6000.0</v>
      </c>
      <c r="D204" s="17"/>
      <c r="E204" s="37">
        <v>800.0</v>
      </c>
      <c r="F204" s="26"/>
      <c r="G204" s="17"/>
      <c r="H204" s="23"/>
      <c r="I204" s="26"/>
      <c r="J204" s="1"/>
      <c r="K204" s="10" t="s">
        <v>13</v>
      </c>
      <c r="L204" s="1" t="str">
        <f t="shared" si="1"/>
        <v>#REF!</v>
      </c>
      <c r="M204" s="1" t="str">
        <f t="shared" si="2"/>
        <v>#REF!</v>
      </c>
      <c r="N204" s="1" t="str">
        <f t="shared" si="3"/>
        <v>#REF!</v>
      </c>
    </row>
    <row r="205" ht="15.75" hidden="1" customHeight="1">
      <c r="A205" s="17" t="s">
        <v>1998</v>
      </c>
      <c r="B205" s="23" t="s">
        <v>1810</v>
      </c>
      <c r="C205" s="26">
        <v>6000.0</v>
      </c>
      <c r="D205" s="17"/>
      <c r="E205" s="37">
        <v>800.0</v>
      </c>
      <c r="F205" s="26"/>
      <c r="G205" s="17"/>
      <c r="H205" s="23"/>
      <c r="I205" s="26"/>
      <c r="J205" s="1"/>
      <c r="K205" s="10" t="s">
        <v>13</v>
      </c>
      <c r="L205" s="1" t="str">
        <f t="shared" si="1"/>
        <v>#REF!</v>
      </c>
      <c r="M205" s="1" t="str">
        <f t="shared" si="2"/>
        <v>#REF!</v>
      </c>
      <c r="N205" s="1" t="str">
        <f t="shared" si="3"/>
        <v>#REF!</v>
      </c>
    </row>
    <row r="206" ht="15.75" hidden="1" customHeight="1">
      <c r="A206" s="17" t="s">
        <v>1999</v>
      </c>
      <c r="B206" s="23" t="s">
        <v>1342</v>
      </c>
      <c r="C206" s="26">
        <v>6000.0</v>
      </c>
      <c r="D206" s="17"/>
      <c r="E206" s="37">
        <v>800.0</v>
      </c>
      <c r="F206" s="26"/>
      <c r="G206" s="17"/>
      <c r="H206" s="23"/>
      <c r="I206" s="26"/>
      <c r="J206" s="1"/>
      <c r="K206" s="10" t="s">
        <v>13</v>
      </c>
      <c r="L206" s="1" t="str">
        <f t="shared" si="1"/>
        <v>#REF!</v>
      </c>
      <c r="M206" s="1" t="str">
        <f t="shared" si="2"/>
        <v>#REF!</v>
      </c>
      <c r="N206" s="1" t="str">
        <f t="shared" si="3"/>
        <v>#REF!</v>
      </c>
    </row>
    <row r="207" ht="15.75" hidden="1" customHeight="1">
      <c r="A207" s="17" t="s">
        <v>2000</v>
      </c>
      <c r="B207" s="23" t="s">
        <v>1218</v>
      </c>
      <c r="C207" s="26">
        <v>6000.0</v>
      </c>
      <c r="D207" s="17"/>
      <c r="E207" s="37">
        <v>800.0</v>
      </c>
      <c r="F207" s="26"/>
      <c r="G207" s="17"/>
      <c r="H207" s="23"/>
      <c r="I207" s="26"/>
      <c r="J207" s="1"/>
      <c r="K207" s="10" t="s">
        <v>13</v>
      </c>
      <c r="L207" s="1" t="str">
        <f t="shared" si="1"/>
        <v>#REF!</v>
      </c>
      <c r="M207" s="1" t="str">
        <f t="shared" si="2"/>
        <v>#REF!</v>
      </c>
      <c r="N207" s="1" t="str">
        <f t="shared" si="3"/>
        <v>#REF!</v>
      </c>
    </row>
    <row r="208" ht="15.75" hidden="1" customHeight="1">
      <c r="A208" s="17" t="s">
        <v>2001</v>
      </c>
      <c r="B208" s="23" t="s">
        <v>671</v>
      </c>
      <c r="C208" s="26">
        <v>6000.0</v>
      </c>
      <c r="D208" s="17"/>
      <c r="E208" s="37">
        <v>800.0</v>
      </c>
      <c r="F208" s="26"/>
      <c r="G208" s="17"/>
      <c r="H208" s="23"/>
      <c r="I208" s="26"/>
      <c r="J208" s="1"/>
      <c r="K208" s="10" t="s">
        <v>13</v>
      </c>
      <c r="L208" s="1" t="str">
        <f t="shared" si="1"/>
        <v>#REF!</v>
      </c>
      <c r="M208" s="1" t="str">
        <f t="shared" si="2"/>
        <v>#REF!</v>
      </c>
      <c r="N208" s="1" t="str">
        <f t="shared" si="3"/>
        <v>#REF!</v>
      </c>
    </row>
    <row r="209" ht="15.75" hidden="1" customHeight="1">
      <c r="A209" s="17" t="s">
        <v>2002</v>
      </c>
      <c r="B209" s="23" t="s">
        <v>1584</v>
      </c>
      <c r="C209" s="26">
        <v>6000.0</v>
      </c>
      <c r="D209" s="17"/>
      <c r="E209" s="37">
        <v>800.0</v>
      </c>
      <c r="F209" s="26"/>
      <c r="G209" s="17"/>
      <c r="H209" s="23"/>
      <c r="I209" s="26"/>
      <c r="J209" s="1"/>
      <c r="K209" s="10" t="s">
        <v>13</v>
      </c>
      <c r="L209" s="1" t="str">
        <f t="shared" si="1"/>
        <v>#REF!</v>
      </c>
      <c r="M209" s="1" t="str">
        <f t="shared" si="2"/>
        <v>#REF!</v>
      </c>
      <c r="N209" s="1" t="str">
        <f t="shared" si="3"/>
        <v>#REF!</v>
      </c>
    </row>
    <row r="210" ht="15.75" hidden="1" customHeight="1">
      <c r="A210" s="17" t="s">
        <v>2003</v>
      </c>
      <c r="B210" s="23" t="s">
        <v>1091</v>
      </c>
      <c r="C210" s="26">
        <v>6000.0</v>
      </c>
      <c r="D210" s="17"/>
      <c r="E210" s="37">
        <v>800.0</v>
      </c>
      <c r="F210" s="26"/>
      <c r="G210" s="17"/>
      <c r="H210" s="23"/>
      <c r="I210" s="26"/>
      <c r="J210" s="1"/>
      <c r="K210" s="10" t="s">
        <v>13</v>
      </c>
      <c r="L210" s="1" t="str">
        <f t="shared" si="1"/>
        <v>#REF!</v>
      </c>
      <c r="M210" s="1" t="str">
        <f t="shared" si="2"/>
        <v>#REF!</v>
      </c>
      <c r="N210" s="1" t="str">
        <f t="shared" si="3"/>
        <v>#REF!</v>
      </c>
    </row>
    <row r="211" ht="15.75" hidden="1" customHeight="1">
      <c r="A211" s="17" t="s">
        <v>2004</v>
      </c>
      <c r="B211" s="23" t="s">
        <v>806</v>
      </c>
      <c r="C211" s="26">
        <v>6000.0</v>
      </c>
      <c r="D211" s="17"/>
      <c r="E211" s="37">
        <v>800.0</v>
      </c>
      <c r="F211" s="26"/>
      <c r="G211" s="17"/>
      <c r="H211" s="23"/>
      <c r="I211" s="26"/>
      <c r="J211" s="1"/>
      <c r="K211" s="10" t="s">
        <v>13</v>
      </c>
      <c r="L211" s="1" t="str">
        <f t="shared" si="1"/>
        <v>#REF!</v>
      </c>
      <c r="M211" s="1" t="str">
        <f t="shared" si="2"/>
        <v>#REF!</v>
      </c>
      <c r="N211" s="1" t="str">
        <f t="shared" si="3"/>
        <v>#REF!</v>
      </c>
    </row>
    <row r="212" ht="15.75" hidden="1" customHeight="1">
      <c r="A212" s="17" t="s">
        <v>2005</v>
      </c>
      <c r="B212" s="23" t="s">
        <v>1311</v>
      </c>
      <c r="C212" s="26">
        <v>6000.0</v>
      </c>
      <c r="D212" s="17"/>
      <c r="E212" s="37">
        <v>800.0</v>
      </c>
      <c r="F212" s="26"/>
      <c r="G212" s="17"/>
      <c r="H212" s="23"/>
      <c r="I212" s="26"/>
      <c r="J212" s="1"/>
      <c r="K212" s="10" t="s">
        <v>13</v>
      </c>
      <c r="L212" s="1" t="str">
        <f t="shared" si="1"/>
        <v>#REF!</v>
      </c>
      <c r="M212" s="1" t="str">
        <f t="shared" si="2"/>
        <v>#REF!</v>
      </c>
      <c r="N212" s="1" t="str">
        <f t="shared" si="3"/>
        <v>#REF!</v>
      </c>
    </row>
    <row r="213" ht="15.75" hidden="1" customHeight="1">
      <c r="A213" s="17" t="s">
        <v>2006</v>
      </c>
      <c r="B213" s="23" t="s">
        <v>1922</v>
      </c>
      <c r="C213" s="26">
        <v>6000.0</v>
      </c>
      <c r="D213" s="17"/>
      <c r="E213" s="37">
        <v>800.0</v>
      </c>
      <c r="F213" s="26"/>
      <c r="G213" s="17"/>
      <c r="H213" s="23"/>
      <c r="I213" s="26"/>
      <c r="J213" s="1"/>
      <c r="K213" s="10" t="s">
        <v>13</v>
      </c>
      <c r="L213" s="1" t="str">
        <f t="shared" si="1"/>
        <v>#REF!</v>
      </c>
      <c r="M213" s="1" t="str">
        <f t="shared" si="2"/>
        <v>#REF!</v>
      </c>
      <c r="N213" s="1" t="str">
        <f t="shared" si="3"/>
        <v>#REF!</v>
      </c>
    </row>
    <row r="214" ht="15.75" hidden="1" customHeight="1">
      <c r="A214" s="17" t="s">
        <v>2007</v>
      </c>
      <c r="B214" s="23" t="s">
        <v>255</v>
      </c>
      <c r="C214" s="26">
        <v>6000.0</v>
      </c>
      <c r="D214" s="17"/>
      <c r="E214" s="37">
        <v>800.0</v>
      </c>
      <c r="F214" s="26"/>
      <c r="G214" s="17"/>
      <c r="H214" s="23"/>
      <c r="I214" s="26"/>
      <c r="J214" s="1"/>
      <c r="K214" s="10" t="s">
        <v>13</v>
      </c>
      <c r="L214" s="1" t="str">
        <f t="shared" si="1"/>
        <v>#REF!</v>
      </c>
      <c r="M214" s="1" t="str">
        <f t="shared" si="2"/>
        <v>#REF!</v>
      </c>
      <c r="N214" s="1" t="str">
        <f t="shared" si="3"/>
        <v>#REF!</v>
      </c>
    </row>
    <row r="215" ht="15.75" hidden="1" customHeight="1">
      <c r="A215" s="17" t="s">
        <v>2008</v>
      </c>
      <c r="B215" s="23" t="s">
        <v>1434</v>
      </c>
      <c r="C215" s="26">
        <v>6000.0</v>
      </c>
      <c r="D215" s="17"/>
      <c r="E215" s="37">
        <v>800.0</v>
      </c>
      <c r="F215" s="26"/>
      <c r="G215" s="17"/>
      <c r="H215" s="23"/>
      <c r="I215" s="26"/>
      <c r="J215" s="1"/>
      <c r="K215" s="10" t="s">
        <v>13</v>
      </c>
      <c r="L215" s="1" t="str">
        <f t="shared" si="1"/>
        <v>#REF!</v>
      </c>
      <c r="M215" s="1" t="str">
        <f t="shared" si="2"/>
        <v>#REF!</v>
      </c>
      <c r="N215" s="1" t="str">
        <f t="shared" si="3"/>
        <v>#REF!</v>
      </c>
    </row>
    <row r="216" ht="15.75" hidden="1" customHeight="1">
      <c r="A216" s="17" t="s">
        <v>2009</v>
      </c>
      <c r="B216" s="23" t="s">
        <v>109</v>
      </c>
      <c r="C216" s="26">
        <v>6000.0</v>
      </c>
      <c r="D216" s="17"/>
      <c r="E216" s="37">
        <v>800.0</v>
      </c>
      <c r="F216" s="37"/>
      <c r="G216" s="17"/>
      <c r="H216" s="23"/>
      <c r="I216" s="26"/>
      <c r="J216" s="1"/>
      <c r="K216" s="10" t="s">
        <v>13</v>
      </c>
      <c r="L216" s="1" t="str">
        <f t="shared" si="1"/>
        <v>#REF!</v>
      </c>
      <c r="M216" s="1" t="str">
        <f t="shared" si="2"/>
        <v>#REF!</v>
      </c>
      <c r="N216" s="1" t="str">
        <f t="shared" si="3"/>
        <v>#REF!</v>
      </c>
    </row>
    <row r="217" ht="15.75" hidden="1" customHeight="1">
      <c r="A217" s="17" t="s">
        <v>2010</v>
      </c>
      <c r="B217" s="23" t="s">
        <v>1924</v>
      </c>
      <c r="C217" s="26">
        <v>6000.0</v>
      </c>
      <c r="D217" s="17"/>
      <c r="E217" s="37">
        <v>800.0</v>
      </c>
      <c r="F217" s="37"/>
      <c r="G217" s="17"/>
      <c r="H217" s="23"/>
      <c r="I217" s="26"/>
      <c r="J217" s="1"/>
      <c r="K217" s="10" t="s">
        <v>13</v>
      </c>
      <c r="L217" s="1" t="str">
        <f t="shared" si="1"/>
        <v>#REF!</v>
      </c>
      <c r="M217" s="1" t="str">
        <f t="shared" si="2"/>
        <v>#REF!</v>
      </c>
      <c r="N217" s="1" t="str">
        <f t="shared" si="3"/>
        <v>#REF!</v>
      </c>
    </row>
    <row r="218" ht="15.75" hidden="1" customHeight="1">
      <c r="A218" s="17" t="s">
        <v>2011</v>
      </c>
      <c r="B218" s="23" t="s">
        <v>1191</v>
      </c>
      <c r="C218" s="26">
        <v>6000.0</v>
      </c>
      <c r="D218" s="17"/>
      <c r="E218" s="37">
        <v>800.0</v>
      </c>
      <c r="F218" s="37"/>
      <c r="G218" s="17"/>
      <c r="H218" s="23"/>
      <c r="I218" s="26"/>
      <c r="J218" s="1"/>
      <c r="K218" s="10" t="s">
        <v>13</v>
      </c>
      <c r="L218" s="1" t="str">
        <f t="shared" si="1"/>
        <v>#REF!</v>
      </c>
      <c r="M218" s="1" t="str">
        <f t="shared" si="2"/>
        <v>#REF!</v>
      </c>
      <c r="N218" s="1" t="str">
        <f t="shared" si="3"/>
        <v>#REF!</v>
      </c>
    </row>
    <row r="219" ht="15.75" hidden="1" customHeight="1">
      <c r="A219" s="17" t="s">
        <v>2012</v>
      </c>
      <c r="B219" s="23" t="s">
        <v>856</v>
      </c>
      <c r="C219" s="26">
        <v>6000.0</v>
      </c>
      <c r="D219" s="17"/>
      <c r="E219" s="37">
        <v>800.0</v>
      </c>
      <c r="F219" s="37">
        <v>50055.0</v>
      </c>
      <c r="G219" s="17"/>
      <c r="H219" s="23"/>
      <c r="I219" s="26"/>
      <c r="J219" s="1"/>
      <c r="K219" s="10" t="s">
        <v>13</v>
      </c>
      <c r="L219" s="1" t="str">
        <f t="shared" si="1"/>
        <v>#REF!</v>
      </c>
      <c r="M219" s="1" t="str">
        <f t="shared" si="2"/>
        <v>#REF!</v>
      </c>
      <c r="N219" s="1" t="str">
        <f t="shared" si="3"/>
        <v>#REF!</v>
      </c>
    </row>
    <row r="220" ht="15.75" hidden="1" customHeight="1">
      <c r="A220" s="17" t="s">
        <v>2013</v>
      </c>
      <c r="B220" s="23" t="s">
        <v>1667</v>
      </c>
      <c r="C220" s="26">
        <v>6000.0</v>
      </c>
      <c r="D220" s="17"/>
      <c r="E220" s="37">
        <v>800.0</v>
      </c>
      <c r="F220" s="37"/>
      <c r="G220" s="17"/>
      <c r="H220" s="23"/>
      <c r="I220" s="26"/>
      <c r="J220" s="1"/>
      <c r="K220" s="10" t="s">
        <v>13</v>
      </c>
      <c r="L220" s="1" t="str">
        <f t="shared" si="1"/>
        <v>#REF!</v>
      </c>
      <c r="M220" s="1" t="str">
        <f t="shared" si="2"/>
        <v>#REF!</v>
      </c>
      <c r="N220" s="1" t="str">
        <f t="shared" si="3"/>
        <v>#REF!</v>
      </c>
    </row>
    <row r="221" ht="15.75" hidden="1" customHeight="1">
      <c r="A221" s="17" t="s">
        <v>2014</v>
      </c>
      <c r="B221" s="23" t="s">
        <v>1379</v>
      </c>
      <c r="C221" s="26">
        <v>6000.0</v>
      </c>
      <c r="D221" s="17"/>
      <c r="E221" s="37">
        <v>800.0</v>
      </c>
      <c r="F221" s="37"/>
      <c r="G221" s="17"/>
      <c r="H221" s="23"/>
      <c r="I221" s="26"/>
      <c r="J221" s="1"/>
      <c r="K221" s="10" t="s">
        <v>13</v>
      </c>
      <c r="L221" s="1" t="str">
        <f t="shared" si="1"/>
        <v>#REF!</v>
      </c>
      <c r="M221" s="1" t="str">
        <f t="shared" si="2"/>
        <v>#REF!</v>
      </c>
      <c r="N221" s="1" t="str">
        <f t="shared" si="3"/>
        <v>#REF!</v>
      </c>
    </row>
    <row r="222" ht="15.75" hidden="1" customHeight="1">
      <c r="A222" s="17" t="s">
        <v>2015</v>
      </c>
      <c r="B222" s="23" t="s">
        <v>370</v>
      </c>
      <c r="C222" s="26">
        <v>6000.0</v>
      </c>
      <c r="D222" s="17"/>
      <c r="E222" s="37">
        <v>800.0</v>
      </c>
      <c r="F222" s="37"/>
      <c r="G222" s="17"/>
      <c r="H222" s="23"/>
      <c r="I222" s="26"/>
      <c r="J222" s="1"/>
      <c r="K222" s="10" t="s">
        <v>13</v>
      </c>
      <c r="L222" s="1" t="str">
        <f t="shared" si="1"/>
        <v>#REF!</v>
      </c>
      <c r="M222" s="1" t="str">
        <f t="shared" si="2"/>
        <v>#REF!</v>
      </c>
      <c r="N222" s="1" t="str">
        <f t="shared" si="3"/>
        <v>#REF!</v>
      </c>
    </row>
    <row r="223" ht="15.75" hidden="1" customHeight="1">
      <c r="A223" s="17" t="s">
        <v>2016</v>
      </c>
      <c r="B223" s="23" t="s">
        <v>1216</v>
      </c>
      <c r="C223" s="26">
        <v>6000.0</v>
      </c>
      <c r="D223" s="17"/>
      <c r="E223" s="37">
        <v>800.0</v>
      </c>
      <c r="F223" s="37"/>
      <c r="G223" s="17"/>
      <c r="H223" s="23"/>
      <c r="I223" s="26"/>
      <c r="J223" s="1"/>
      <c r="K223" s="10" t="s">
        <v>13</v>
      </c>
      <c r="L223" s="1" t="str">
        <f t="shared" si="1"/>
        <v>#REF!</v>
      </c>
      <c r="M223" s="1" t="str">
        <f t="shared" si="2"/>
        <v>#REF!</v>
      </c>
      <c r="N223" s="1" t="str">
        <f t="shared" si="3"/>
        <v>#REF!</v>
      </c>
    </row>
    <row r="224" ht="15.75" hidden="1" customHeight="1">
      <c r="A224" s="17" t="s">
        <v>2017</v>
      </c>
      <c r="B224" s="23" t="s">
        <v>1154</v>
      </c>
      <c r="C224" s="26">
        <v>6000.0</v>
      </c>
      <c r="D224" s="17"/>
      <c r="E224" s="37">
        <v>800.0</v>
      </c>
      <c r="F224" s="37"/>
      <c r="G224" s="17"/>
      <c r="H224" s="23"/>
      <c r="I224" s="26"/>
      <c r="J224" s="1"/>
      <c r="K224" s="10" t="s">
        <v>13</v>
      </c>
      <c r="L224" s="1" t="str">
        <f t="shared" si="1"/>
        <v>#REF!</v>
      </c>
      <c r="M224" s="1" t="str">
        <f t="shared" si="2"/>
        <v>#REF!</v>
      </c>
      <c r="N224" s="1" t="str">
        <f t="shared" si="3"/>
        <v>#REF!</v>
      </c>
    </row>
    <row r="225" ht="15.75" hidden="1" customHeight="1">
      <c r="A225" s="17" t="s">
        <v>2018</v>
      </c>
      <c r="B225" s="23" t="s">
        <v>1363</v>
      </c>
      <c r="C225" s="26">
        <v>6000.0</v>
      </c>
      <c r="D225" s="17"/>
      <c r="E225" s="37">
        <v>800.0</v>
      </c>
      <c r="F225" s="37">
        <v>45500.0</v>
      </c>
      <c r="G225" s="17"/>
      <c r="H225" s="23"/>
      <c r="I225" s="26"/>
      <c r="J225" s="1"/>
      <c r="K225" s="10" t="s">
        <v>13</v>
      </c>
      <c r="L225" s="1" t="str">
        <f t="shared" si="1"/>
        <v>#REF!</v>
      </c>
      <c r="M225" s="1" t="str">
        <f t="shared" si="2"/>
        <v>#REF!</v>
      </c>
      <c r="N225" s="1" t="str">
        <f t="shared" si="3"/>
        <v>#REF!</v>
      </c>
    </row>
    <row r="226" ht="15.75" hidden="1" customHeight="1">
      <c r="A226" s="17" t="s">
        <v>2019</v>
      </c>
      <c r="B226" s="23" t="s">
        <v>1028</v>
      </c>
      <c r="C226" s="26">
        <v>6000.0</v>
      </c>
      <c r="D226" s="17"/>
      <c r="E226" s="37">
        <v>800.0</v>
      </c>
      <c r="F226" s="37"/>
      <c r="G226" s="17"/>
      <c r="H226" s="23"/>
      <c r="I226" s="26"/>
      <c r="J226" s="1"/>
      <c r="K226" s="10" t="s">
        <v>13</v>
      </c>
      <c r="L226" s="1" t="str">
        <f t="shared" si="1"/>
        <v>#REF!</v>
      </c>
      <c r="M226" s="1" t="str">
        <f t="shared" si="2"/>
        <v>#REF!</v>
      </c>
      <c r="N226" s="1" t="str">
        <f t="shared" si="3"/>
        <v>#REF!</v>
      </c>
    </row>
    <row r="227" ht="15.75" hidden="1" customHeight="1">
      <c r="A227" s="17" t="s">
        <v>2020</v>
      </c>
      <c r="B227" s="23" t="s">
        <v>1676</v>
      </c>
      <c r="C227" s="26">
        <v>6000.0</v>
      </c>
      <c r="D227" s="17"/>
      <c r="E227" s="37">
        <v>800.0</v>
      </c>
      <c r="F227" s="37"/>
      <c r="G227" s="17"/>
      <c r="H227" s="23"/>
      <c r="I227" s="26"/>
      <c r="J227" s="1"/>
      <c r="K227" s="10" t="s">
        <v>13</v>
      </c>
      <c r="L227" s="1" t="str">
        <f t="shared" si="1"/>
        <v>#REF!</v>
      </c>
      <c r="M227" s="1" t="str">
        <f t="shared" si="2"/>
        <v>#REF!</v>
      </c>
      <c r="N227" s="1" t="str">
        <f t="shared" si="3"/>
        <v>#REF!</v>
      </c>
    </row>
    <row r="228" ht="15.75" hidden="1" customHeight="1">
      <c r="A228" s="17" t="s">
        <v>2021</v>
      </c>
      <c r="B228" s="23" t="s">
        <v>1033</v>
      </c>
      <c r="C228" s="26">
        <v>6000.0</v>
      </c>
      <c r="D228" s="17"/>
      <c r="E228" s="37">
        <v>800.0</v>
      </c>
      <c r="F228" s="37"/>
      <c r="G228" s="17"/>
      <c r="H228" s="23"/>
      <c r="I228" s="26"/>
      <c r="J228" s="1"/>
      <c r="K228" s="10" t="s">
        <v>13</v>
      </c>
      <c r="L228" s="1" t="str">
        <f t="shared" si="1"/>
        <v>#REF!</v>
      </c>
      <c r="M228" s="1" t="str">
        <f t="shared" si="2"/>
        <v>#REF!</v>
      </c>
      <c r="N228" s="1" t="str">
        <f t="shared" si="3"/>
        <v>#REF!</v>
      </c>
    </row>
    <row r="229" ht="15.75" hidden="1" customHeight="1">
      <c r="A229" s="17" t="s">
        <v>2022</v>
      </c>
      <c r="B229" s="23" t="s">
        <v>1260</v>
      </c>
      <c r="C229" s="26">
        <v>6000.0</v>
      </c>
      <c r="D229" s="17"/>
      <c r="E229" s="37">
        <v>800.0</v>
      </c>
      <c r="F229" s="37"/>
      <c r="G229" s="17"/>
      <c r="H229" s="23"/>
      <c r="I229" s="26"/>
      <c r="J229" s="1"/>
      <c r="K229" s="10" t="s">
        <v>13</v>
      </c>
      <c r="L229" s="1" t="str">
        <f t="shared" si="1"/>
        <v>#REF!</v>
      </c>
      <c r="M229" s="1" t="str">
        <f t="shared" si="2"/>
        <v>#REF!</v>
      </c>
      <c r="N229" s="1" t="str">
        <f t="shared" si="3"/>
        <v>#REF!</v>
      </c>
    </row>
    <row r="230" ht="15.75" hidden="1" customHeight="1">
      <c r="A230" s="17" t="s">
        <v>2023</v>
      </c>
      <c r="B230" s="23" t="s">
        <v>377</v>
      </c>
      <c r="C230" s="26">
        <v>6000.0</v>
      </c>
      <c r="D230" s="17"/>
      <c r="E230" s="37">
        <v>800.0</v>
      </c>
      <c r="F230" s="37"/>
      <c r="G230" s="17"/>
      <c r="H230" s="23"/>
      <c r="I230" s="26"/>
      <c r="J230" s="1"/>
      <c r="K230" s="10" t="s">
        <v>13</v>
      </c>
      <c r="L230" s="1" t="str">
        <f t="shared" si="1"/>
        <v>#REF!</v>
      </c>
      <c r="M230" s="1" t="str">
        <f t="shared" si="2"/>
        <v>#REF!</v>
      </c>
      <c r="N230" s="1" t="str">
        <f t="shared" si="3"/>
        <v>#REF!</v>
      </c>
    </row>
    <row r="231" ht="15.75" hidden="1" customHeight="1">
      <c r="A231" s="17" t="s">
        <v>2024</v>
      </c>
      <c r="B231" s="23" t="s">
        <v>1747</v>
      </c>
      <c r="C231" s="26">
        <v>6000.0</v>
      </c>
      <c r="D231" s="17"/>
      <c r="E231" s="37">
        <v>800.0</v>
      </c>
      <c r="F231" s="37"/>
      <c r="G231" s="17"/>
      <c r="H231" s="23"/>
      <c r="I231" s="26"/>
      <c r="J231" s="1"/>
      <c r="K231" s="10" t="s">
        <v>13</v>
      </c>
      <c r="L231" s="1" t="str">
        <f t="shared" si="1"/>
        <v>#REF!</v>
      </c>
      <c r="M231" s="1" t="str">
        <f t="shared" si="2"/>
        <v>#REF!</v>
      </c>
      <c r="N231" s="1" t="str">
        <f t="shared" si="3"/>
        <v>#REF!</v>
      </c>
    </row>
    <row r="232" ht="15.75" hidden="1" customHeight="1">
      <c r="A232" s="17" t="s">
        <v>2025</v>
      </c>
      <c r="B232" s="23" t="s">
        <v>1503</v>
      </c>
      <c r="C232" s="26">
        <v>6000.0</v>
      </c>
      <c r="D232" s="17"/>
      <c r="E232" s="37">
        <v>800.0</v>
      </c>
      <c r="F232" s="37"/>
      <c r="G232" s="17"/>
      <c r="H232" s="23"/>
      <c r="I232" s="26"/>
      <c r="J232" s="1"/>
      <c r="K232" s="10" t="s">
        <v>13</v>
      </c>
      <c r="L232" s="1" t="str">
        <f t="shared" si="1"/>
        <v>#REF!</v>
      </c>
      <c r="M232" s="1" t="str">
        <f t="shared" si="2"/>
        <v>#REF!</v>
      </c>
      <c r="N232" s="1" t="str">
        <f t="shared" si="3"/>
        <v>#REF!</v>
      </c>
    </row>
    <row r="233" ht="15.75" hidden="1" customHeight="1">
      <c r="A233" s="17" t="s">
        <v>2026</v>
      </c>
      <c r="B233" s="23" t="s">
        <v>431</v>
      </c>
      <c r="C233" s="26">
        <v>6000.0</v>
      </c>
      <c r="D233" s="17"/>
      <c r="E233" s="37">
        <v>800.0</v>
      </c>
      <c r="F233" s="37"/>
      <c r="G233" s="17"/>
      <c r="H233" s="23"/>
      <c r="I233" s="26"/>
      <c r="J233" s="1"/>
      <c r="K233" s="10" t="s">
        <v>13</v>
      </c>
      <c r="L233" s="1" t="str">
        <f t="shared" si="1"/>
        <v>#REF!</v>
      </c>
      <c r="M233" s="1" t="str">
        <f t="shared" si="2"/>
        <v>#REF!</v>
      </c>
      <c r="N233" s="1" t="str">
        <f t="shared" si="3"/>
        <v>#REF!</v>
      </c>
    </row>
    <row r="234" ht="15.75" hidden="1" customHeight="1">
      <c r="A234" s="17" t="s">
        <v>2027</v>
      </c>
      <c r="B234" s="23" t="s">
        <v>1511</v>
      </c>
      <c r="C234" s="26">
        <v>6000.0</v>
      </c>
      <c r="D234" s="17"/>
      <c r="E234" s="37">
        <v>800.0</v>
      </c>
      <c r="F234" s="37"/>
      <c r="G234" s="17"/>
      <c r="H234" s="23"/>
      <c r="I234" s="26"/>
      <c r="J234" s="1"/>
      <c r="K234" s="10" t="s">
        <v>13</v>
      </c>
      <c r="L234" s="1" t="str">
        <f t="shared" si="1"/>
        <v>#REF!</v>
      </c>
      <c r="M234" s="1" t="str">
        <f t="shared" si="2"/>
        <v>#REF!</v>
      </c>
      <c r="N234" s="1" t="str">
        <f t="shared" si="3"/>
        <v>#REF!</v>
      </c>
    </row>
    <row r="235" ht="15.75" hidden="1" customHeight="1">
      <c r="A235" s="17" t="s">
        <v>2028</v>
      </c>
      <c r="B235" s="23" t="s">
        <v>2029</v>
      </c>
      <c r="C235" s="26">
        <v>6000.0</v>
      </c>
      <c r="D235" s="17"/>
      <c r="E235" s="37">
        <v>800.0</v>
      </c>
      <c r="F235" s="37"/>
      <c r="G235" s="17"/>
      <c r="H235" s="23"/>
      <c r="I235" s="26"/>
      <c r="J235" s="1"/>
      <c r="K235" s="10" t="s">
        <v>13</v>
      </c>
      <c r="L235" s="1" t="str">
        <f t="shared" si="1"/>
        <v>#REF!</v>
      </c>
      <c r="M235" s="1" t="str">
        <f t="shared" si="2"/>
        <v>#REF!</v>
      </c>
      <c r="N235" s="1" t="str">
        <f t="shared" si="3"/>
        <v>#REF!</v>
      </c>
    </row>
    <row r="236" ht="15.75" hidden="1" customHeight="1">
      <c r="A236" s="17" t="s">
        <v>2030</v>
      </c>
      <c r="B236" s="23" t="s">
        <v>238</v>
      </c>
      <c r="C236" s="26">
        <v>6000.0</v>
      </c>
      <c r="D236" s="17"/>
      <c r="E236" s="37">
        <v>800.0</v>
      </c>
      <c r="F236" s="37"/>
      <c r="G236" s="17"/>
      <c r="H236" s="23"/>
      <c r="I236" s="26"/>
      <c r="J236" s="1"/>
      <c r="K236" s="10" t="s">
        <v>13</v>
      </c>
      <c r="L236" s="1" t="str">
        <f t="shared" si="1"/>
        <v>#REF!</v>
      </c>
      <c r="M236" s="1" t="str">
        <f t="shared" si="2"/>
        <v>#REF!</v>
      </c>
      <c r="N236" s="1" t="str">
        <f t="shared" si="3"/>
        <v>#REF!</v>
      </c>
    </row>
    <row r="237" ht="15.75" hidden="1" customHeight="1">
      <c r="A237" s="17" t="s">
        <v>2031</v>
      </c>
      <c r="B237" s="23" t="s">
        <v>2032</v>
      </c>
      <c r="C237" s="26">
        <v>6000.0</v>
      </c>
      <c r="D237" s="17"/>
      <c r="E237" s="37">
        <v>800.0</v>
      </c>
      <c r="F237" s="37"/>
      <c r="G237" s="17"/>
      <c r="H237" s="23"/>
      <c r="I237" s="26"/>
      <c r="J237" s="1"/>
      <c r="K237" s="10" t="s">
        <v>13</v>
      </c>
      <c r="L237" s="1" t="str">
        <f t="shared" si="1"/>
        <v>#REF!</v>
      </c>
      <c r="M237" s="1" t="str">
        <f t="shared" si="2"/>
        <v>#REF!</v>
      </c>
      <c r="N237" s="1" t="str">
        <f t="shared" si="3"/>
        <v>#REF!</v>
      </c>
    </row>
    <row r="238" ht="15.75" hidden="1" customHeight="1">
      <c r="A238" s="17" t="s">
        <v>2033</v>
      </c>
      <c r="B238" s="23" t="s">
        <v>881</v>
      </c>
      <c r="C238" s="26">
        <v>6000.0</v>
      </c>
      <c r="D238" s="17"/>
      <c r="E238" s="37">
        <v>800.0</v>
      </c>
      <c r="F238" s="37"/>
      <c r="G238" s="17"/>
      <c r="H238" s="23"/>
      <c r="I238" s="26"/>
      <c r="J238" s="1"/>
      <c r="K238" s="10" t="s">
        <v>13</v>
      </c>
      <c r="L238" s="1" t="str">
        <f t="shared" si="1"/>
        <v>#REF!</v>
      </c>
      <c r="M238" s="1" t="str">
        <f t="shared" si="2"/>
        <v>#REF!</v>
      </c>
      <c r="N238" s="1" t="str">
        <f t="shared" si="3"/>
        <v>#REF!</v>
      </c>
    </row>
    <row r="239" ht="15.75" hidden="1" customHeight="1">
      <c r="A239" s="17" t="s">
        <v>2034</v>
      </c>
      <c r="B239" s="23" t="s">
        <v>648</v>
      </c>
      <c r="C239" s="26">
        <v>6000.0</v>
      </c>
      <c r="D239" s="41"/>
      <c r="E239" s="37">
        <v>800.0</v>
      </c>
      <c r="F239" s="37"/>
      <c r="G239" s="17"/>
      <c r="H239" s="23"/>
      <c r="I239" s="26"/>
      <c r="J239" s="1"/>
      <c r="K239" s="10" t="s">
        <v>13</v>
      </c>
      <c r="L239" s="1" t="str">
        <f t="shared" si="1"/>
        <v>#REF!</v>
      </c>
      <c r="M239" s="1" t="str">
        <f t="shared" si="2"/>
        <v>#REF!</v>
      </c>
      <c r="N239" s="1" t="str">
        <f t="shared" si="3"/>
        <v>#REF!</v>
      </c>
    </row>
    <row r="240" ht="15.75" hidden="1" customHeight="1">
      <c r="A240" s="17" t="s">
        <v>2035</v>
      </c>
      <c r="B240" s="23" t="s">
        <v>94</v>
      </c>
      <c r="C240" s="42">
        <v>5390.0</v>
      </c>
      <c r="D240" s="1"/>
      <c r="E240" s="43">
        <v>860.0</v>
      </c>
      <c r="F240" s="37"/>
      <c r="G240" s="43"/>
      <c r="H240" s="1"/>
      <c r="I240" s="1"/>
      <c r="J240" s="1"/>
      <c r="K240" s="3" t="s">
        <v>2</v>
      </c>
      <c r="L240" s="1" t="str">
        <f t="shared" si="1"/>
        <v>#REF!</v>
      </c>
      <c r="M240" s="1" t="str">
        <f t="shared" si="2"/>
        <v>#REF!</v>
      </c>
      <c r="N240" s="1" t="str">
        <f t="shared" si="3"/>
        <v>#REF!</v>
      </c>
    </row>
    <row r="241" ht="15.75" hidden="1" customHeight="1">
      <c r="A241" s="17" t="s">
        <v>2036</v>
      </c>
      <c r="B241" s="23" t="s">
        <v>121</v>
      </c>
      <c r="C241" s="42">
        <v>5390.0</v>
      </c>
      <c r="D241" s="1"/>
      <c r="E241" s="43">
        <v>860.0</v>
      </c>
      <c r="F241" s="37"/>
      <c r="G241" s="43"/>
      <c r="H241" s="1"/>
      <c r="I241" s="1"/>
      <c r="J241" s="40"/>
      <c r="K241" s="3" t="s">
        <v>2</v>
      </c>
      <c r="L241" s="1" t="str">
        <f t="shared" si="1"/>
        <v>#REF!</v>
      </c>
      <c r="M241" s="1" t="str">
        <f t="shared" si="2"/>
        <v>#REF!</v>
      </c>
      <c r="N241" s="1" t="str">
        <f t="shared" si="3"/>
        <v>#REF!</v>
      </c>
    </row>
    <row r="242" ht="15.75" hidden="1" customHeight="1">
      <c r="A242" s="17" t="s">
        <v>2037</v>
      </c>
      <c r="B242" s="23" t="s">
        <v>182</v>
      </c>
      <c r="C242" s="42">
        <v>5390.0</v>
      </c>
      <c r="D242" s="1"/>
      <c r="E242" s="43">
        <v>860.0</v>
      </c>
      <c r="F242" s="1"/>
      <c r="G242" s="43"/>
      <c r="H242" s="1"/>
      <c r="I242" s="1"/>
      <c r="J242" s="1"/>
      <c r="K242" s="3" t="s">
        <v>2</v>
      </c>
      <c r="L242" s="1" t="str">
        <f t="shared" si="1"/>
        <v>#REF!</v>
      </c>
      <c r="M242" s="1" t="str">
        <f t="shared" si="2"/>
        <v>#REF!</v>
      </c>
      <c r="N242" s="1" t="str">
        <f t="shared" si="3"/>
        <v>#REF!</v>
      </c>
    </row>
    <row r="243" ht="15.75" hidden="1" customHeight="1">
      <c r="A243" s="17" t="s">
        <v>2038</v>
      </c>
      <c r="B243" s="23" t="s">
        <v>204</v>
      </c>
      <c r="C243" s="42">
        <v>5390.0</v>
      </c>
      <c r="D243" s="1"/>
      <c r="E243" s="43">
        <v>860.0</v>
      </c>
      <c r="F243" s="1"/>
      <c r="G243" s="43"/>
      <c r="H243" s="1"/>
      <c r="I243" s="1"/>
      <c r="J243" s="1"/>
      <c r="K243" s="3" t="s">
        <v>2</v>
      </c>
      <c r="L243" s="1" t="str">
        <f t="shared" si="1"/>
        <v>#REF!</v>
      </c>
      <c r="M243" s="1" t="str">
        <f t="shared" si="2"/>
        <v>#REF!</v>
      </c>
      <c r="N243" s="1" t="str">
        <f t="shared" si="3"/>
        <v>#REF!</v>
      </c>
    </row>
    <row r="244" ht="15.75" hidden="1" customHeight="1">
      <c r="A244" s="17" t="s">
        <v>2039</v>
      </c>
      <c r="B244" s="23" t="s">
        <v>210</v>
      </c>
      <c r="C244" s="42">
        <v>5390.0</v>
      </c>
      <c r="D244" s="1"/>
      <c r="E244" s="43">
        <v>860.0</v>
      </c>
      <c r="F244" s="1"/>
      <c r="G244" s="43"/>
      <c r="H244" s="1"/>
      <c r="I244" s="1"/>
      <c r="J244" s="1"/>
      <c r="K244" s="3" t="s">
        <v>2</v>
      </c>
      <c r="L244" s="1" t="str">
        <f t="shared" si="1"/>
        <v>#REF!</v>
      </c>
      <c r="M244" s="1" t="str">
        <f t="shared" si="2"/>
        <v>#REF!</v>
      </c>
      <c r="N244" s="1" t="str">
        <f t="shared" si="3"/>
        <v>#REF!</v>
      </c>
    </row>
    <row r="245" ht="15.75" hidden="1" customHeight="1">
      <c r="A245" s="17" t="s">
        <v>2040</v>
      </c>
      <c r="B245" s="23" t="s">
        <v>219</v>
      </c>
      <c r="C245" s="42">
        <v>5390.0</v>
      </c>
      <c r="D245" s="1"/>
      <c r="E245" s="43">
        <v>860.0</v>
      </c>
      <c r="F245" s="1"/>
      <c r="G245" s="43"/>
      <c r="H245" s="1"/>
      <c r="I245" s="1"/>
      <c r="J245" s="1"/>
      <c r="K245" s="3" t="s">
        <v>2</v>
      </c>
      <c r="L245" s="1" t="str">
        <f t="shared" si="1"/>
        <v>#REF!</v>
      </c>
      <c r="M245" s="1" t="str">
        <f t="shared" si="2"/>
        <v>#REF!</v>
      </c>
      <c r="N245" s="1" t="str">
        <f t="shared" si="3"/>
        <v>#REF!</v>
      </c>
    </row>
    <row r="246" ht="15.75" hidden="1" customHeight="1">
      <c r="A246" s="17" t="s">
        <v>2041</v>
      </c>
      <c r="B246" s="23" t="s">
        <v>224</v>
      </c>
      <c r="C246" s="42">
        <v>5390.0</v>
      </c>
      <c r="D246" s="1"/>
      <c r="E246" s="43">
        <v>860.0</v>
      </c>
      <c r="F246" s="1"/>
      <c r="G246" s="43"/>
      <c r="H246" s="1"/>
      <c r="I246" s="1"/>
      <c r="J246" s="1"/>
      <c r="K246" s="3" t="s">
        <v>2</v>
      </c>
      <c r="L246" s="1" t="str">
        <f t="shared" si="1"/>
        <v>#REF!</v>
      </c>
      <c r="M246" s="1" t="str">
        <f t="shared" si="2"/>
        <v>#REF!</v>
      </c>
      <c r="N246" s="1" t="str">
        <f t="shared" si="3"/>
        <v>#REF!</v>
      </c>
    </row>
    <row r="247" ht="15.75" hidden="1" customHeight="1">
      <c r="A247" s="17" t="s">
        <v>2042</v>
      </c>
      <c r="B247" s="23" t="s">
        <v>236</v>
      </c>
      <c r="C247" s="42">
        <v>5390.0</v>
      </c>
      <c r="D247" s="1"/>
      <c r="E247" s="43">
        <v>860.0</v>
      </c>
      <c r="F247" s="1"/>
      <c r="G247" s="43">
        <v>17000.0</v>
      </c>
      <c r="H247" s="1"/>
      <c r="I247" s="1"/>
      <c r="J247" s="1"/>
      <c r="K247" s="3" t="s">
        <v>2</v>
      </c>
      <c r="L247" s="1" t="str">
        <f t="shared" si="1"/>
        <v>#REF!</v>
      </c>
      <c r="M247" s="1" t="str">
        <f t="shared" si="2"/>
        <v>#REF!</v>
      </c>
      <c r="N247" s="1" t="str">
        <f t="shared" si="3"/>
        <v>#REF!</v>
      </c>
    </row>
    <row r="248" ht="15.75" hidden="1" customHeight="1">
      <c r="A248" s="17" t="s">
        <v>2043</v>
      </c>
      <c r="B248" s="23" t="s">
        <v>265</v>
      </c>
      <c r="C248" s="42">
        <v>5390.0</v>
      </c>
      <c r="D248" s="1"/>
      <c r="E248" s="43">
        <v>860.0</v>
      </c>
      <c r="F248" s="1"/>
      <c r="G248" s="43"/>
      <c r="H248" s="1"/>
      <c r="I248" s="1"/>
      <c r="J248" s="1"/>
      <c r="K248" s="3" t="s">
        <v>2</v>
      </c>
      <c r="L248" s="1" t="str">
        <f t="shared" si="1"/>
        <v>#REF!</v>
      </c>
      <c r="M248" s="1" t="str">
        <f t="shared" si="2"/>
        <v>#REF!</v>
      </c>
      <c r="N248" s="1" t="str">
        <f t="shared" si="3"/>
        <v>#REF!</v>
      </c>
    </row>
    <row r="249" ht="15.75" hidden="1" customHeight="1">
      <c r="A249" s="17" t="s">
        <v>2044</v>
      </c>
      <c r="B249" s="23" t="s">
        <v>269</v>
      </c>
      <c r="C249" s="42">
        <v>5390.0</v>
      </c>
      <c r="D249" s="1"/>
      <c r="E249" s="43">
        <v>860.0</v>
      </c>
      <c r="F249" s="1"/>
      <c r="G249" s="43"/>
      <c r="H249" s="1"/>
      <c r="I249" s="1"/>
      <c r="J249" s="1"/>
      <c r="K249" s="3" t="s">
        <v>2</v>
      </c>
      <c r="L249" s="1" t="str">
        <f t="shared" si="1"/>
        <v>#REF!</v>
      </c>
      <c r="M249" s="1" t="str">
        <f t="shared" si="2"/>
        <v>#REF!</v>
      </c>
      <c r="N249" s="1" t="str">
        <f t="shared" si="3"/>
        <v>#REF!</v>
      </c>
    </row>
    <row r="250" ht="15.75" hidden="1" customHeight="1">
      <c r="A250" s="17" t="s">
        <v>2045</v>
      </c>
      <c r="B250" s="23" t="s">
        <v>273</v>
      </c>
      <c r="C250" s="42">
        <v>5390.0</v>
      </c>
      <c r="D250" s="1"/>
      <c r="E250" s="43">
        <v>860.0</v>
      </c>
      <c r="F250" s="1"/>
      <c r="G250" s="43"/>
      <c r="H250" s="1"/>
      <c r="I250" s="1"/>
      <c r="J250" s="1"/>
      <c r="K250" s="3" t="s">
        <v>2</v>
      </c>
      <c r="L250" s="1" t="str">
        <f t="shared" si="1"/>
        <v>#REF!</v>
      </c>
      <c r="M250" s="1" t="str">
        <f t="shared" si="2"/>
        <v>#REF!</v>
      </c>
      <c r="N250" s="1" t="str">
        <f t="shared" si="3"/>
        <v>#REF!</v>
      </c>
    </row>
    <row r="251" ht="15.75" hidden="1" customHeight="1">
      <c r="A251" s="17" t="s">
        <v>2046</v>
      </c>
      <c r="B251" s="23" t="s">
        <v>306</v>
      </c>
      <c r="C251" s="42">
        <v>5390.0</v>
      </c>
      <c r="D251" s="1"/>
      <c r="E251" s="43">
        <v>860.0</v>
      </c>
      <c r="F251" s="1"/>
      <c r="G251" s="43"/>
      <c r="H251" s="1"/>
      <c r="I251" s="1"/>
      <c r="J251" s="1"/>
      <c r="K251" s="3" t="s">
        <v>2</v>
      </c>
      <c r="L251" s="1" t="str">
        <f t="shared" si="1"/>
        <v>#REF!</v>
      </c>
      <c r="M251" s="1" t="str">
        <f t="shared" si="2"/>
        <v>#REF!</v>
      </c>
      <c r="N251" s="1" t="str">
        <f t="shared" si="3"/>
        <v>#REF!</v>
      </c>
    </row>
    <row r="252" ht="15.75" hidden="1" customHeight="1">
      <c r="A252" s="17" t="s">
        <v>2047</v>
      </c>
      <c r="B252" s="23" t="s">
        <v>317</v>
      </c>
      <c r="C252" s="42">
        <v>5390.0</v>
      </c>
      <c r="D252" s="1"/>
      <c r="E252" s="43">
        <v>860.0</v>
      </c>
      <c r="F252" s="1"/>
      <c r="G252" s="43"/>
      <c r="H252" s="1"/>
      <c r="I252" s="1"/>
      <c r="J252" s="1"/>
      <c r="K252" s="3" t="s">
        <v>2</v>
      </c>
      <c r="L252" s="1" t="str">
        <f t="shared" si="1"/>
        <v>#REF!</v>
      </c>
      <c r="M252" s="1" t="str">
        <f t="shared" si="2"/>
        <v>#REF!</v>
      </c>
      <c r="N252" s="1" t="str">
        <f t="shared" si="3"/>
        <v>#REF!</v>
      </c>
    </row>
    <row r="253" ht="15.75" hidden="1" customHeight="1">
      <c r="A253" s="17" t="s">
        <v>2048</v>
      </c>
      <c r="B253" s="23" t="s">
        <v>323</v>
      </c>
      <c r="C253" s="42">
        <v>5390.0</v>
      </c>
      <c r="D253" s="1"/>
      <c r="E253" s="43">
        <v>860.0</v>
      </c>
      <c r="F253" s="1"/>
      <c r="G253" s="43"/>
      <c r="H253" s="1"/>
      <c r="I253" s="1"/>
      <c r="J253" s="1"/>
      <c r="K253" s="3" t="s">
        <v>2</v>
      </c>
      <c r="L253" s="1" t="str">
        <f t="shared" si="1"/>
        <v>#REF!</v>
      </c>
      <c r="M253" s="1" t="str">
        <f t="shared" si="2"/>
        <v>#REF!</v>
      </c>
      <c r="N253" s="1" t="str">
        <f t="shared" si="3"/>
        <v>#REF!</v>
      </c>
    </row>
    <row r="254" ht="15.75" hidden="1" customHeight="1">
      <c r="A254" s="17" t="s">
        <v>2049</v>
      </c>
      <c r="B254" s="23" t="s">
        <v>350</v>
      </c>
      <c r="C254" s="42">
        <v>5390.0</v>
      </c>
      <c r="D254" s="1"/>
      <c r="E254" s="43">
        <v>860.0</v>
      </c>
      <c r="F254" s="1"/>
      <c r="G254" s="43"/>
      <c r="H254" s="1"/>
      <c r="I254" s="1"/>
      <c r="J254" s="1"/>
      <c r="K254" s="3" t="s">
        <v>2</v>
      </c>
      <c r="L254" s="1" t="str">
        <f t="shared" si="1"/>
        <v>#REF!</v>
      </c>
      <c r="M254" s="1" t="str">
        <f t="shared" si="2"/>
        <v>#REF!</v>
      </c>
      <c r="N254" s="1" t="str">
        <f t="shared" si="3"/>
        <v>#REF!</v>
      </c>
    </row>
    <row r="255" ht="15.75" hidden="1" customHeight="1">
      <c r="A255" s="17" t="s">
        <v>2050</v>
      </c>
      <c r="B255" s="23" t="s">
        <v>404</v>
      </c>
      <c r="C255" s="42">
        <v>5390.0</v>
      </c>
      <c r="D255" s="1"/>
      <c r="E255" s="43">
        <v>860.0</v>
      </c>
      <c r="F255" s="1"/>
      <c r="G255" s="43"/>
      <c r="H255" s="1"/>
      <c r="I255" s="1"/>
      <c r="J255" s="1"/>
      <c r="K255" s="3" t="s">
        <v>2</v>
      </c>
      <c r="L255" s="1" t="str">
        <f t="shared" si="1"/>
        <v>#REF!</v>
      </c>
      <c r="M255" s="1" t="str">
        <f t="shared" si="2"/>
        <v>#REF!</v>
      </c>
      <c r="N255" s="1" t="str">
        <f t="shared" si="3"/>
        <v>#REF!</v>
      </c>
    </row>
    <row r="256" ht="15.75" hidden="1" customHeight="1">
      <c r="A256" s="17" t="s">
        <v>2051</v>
      </c>
      <c r="B256" s="23" t="s">
        <v>434</v>
      </c>
      <c r="C256" s="42">
        <v>5390.0</v>
      </c>
      <c r="D256" s="1"/>
      <c r="E256" s="43">
        <v>860.0</v>
      </c>
      <c r="F256" s="1"/>
      <c r="G256" s="43"/>
      <c r="H256" s="1"/>
      <c r="I256" s="1"/>
      <c r="J256" s="1"/>
      <c r="K256" s="3" t="s">
        <v>2</v>
      </c>
      <c r="L256" s="1" t="str">
        <f t="shared" si="1"/>
        <v>#REF!</v>
      </c>
      <c r="M256" s="1" t="str">
        <f t="shared" si="2"/>
        <v>#REF!</v>
      </c>
      <c r="N256" s="1" t="str">
        <f t="shared" si="3"/>
        <v>#REF!</v>
      </c>
    </row>
    <row r="257" ht="15.75" hidden="1" customHeight="1">
      <c r="A257" s="17" t="s">
        <v>2052</v>
      </c>
      <c r="B257" s="23" t="s">
        <v>452</v>
      </c>
      <c r="C257" s="42">
        <v>5390.0</v>
      </c>
      <c r="D257" s="1"/>
      <c r="E257" s="43">
        <v>860.0</v>
      </c>
      <c r="F257" s="1"/>
      <c r="G257" s="43"/>
      <c r="H257" s="1"/>
      <c r="I257" s="1"/>
      <c r="J257" s="1"/>
      <c r="K257" s="3" t="s">
        <v>2</v>
      </c>
      <c r="L257" s="1" t="str">
        <f t="shared" si="1"/>
        <v>#REF!</v>
      </c>
      <c r="M257" s="1" t="str">
        <f t="shared" si="2"/>
        <v>#REF!</v>
      </c>
      <c r="N257" s="1" t="str">
        <f t="shared" si="3"/>
        <v>#REF!</v>
      </c>
    </row>
    <row r="258" ht="15.75" hidden="1" customHeight="1">
      <c r="A258" s="17" t="s">
        <v>2053</v>
      </c>
      <c r="B258" s="23" t="s">
        <v>470</v>
      </c>
      <c r="C258" s="42">
        <v>5390.0</v>
      </c>
      <c r="D258" s="1"/>
      <c r="E258" s="43">
        <v>860.0</v>
      </c>
      <c r="F258" s="1"/>
      <c r="G258" s="43"/>
      <c r="H258" s="1"/>
      <c r="I258" s="1"/>
      <c r="J258" s="1"/>
      <c r="K258" s="3" t="s">
        <v>2</v>
      </c>
      <c r="L258" s="1" t="str">
        <f t="shared" si="1"/>
        <v>#REF!</v>
      </c>
      <c r="M258" s="1" t="str">
        <f t="shared" si="2"/>
        <v>#REF!</v>
      </c>
      <c r="N258" s="1" t="str">
        <f t="shared" si="3"/>
        <v>#REF!</v>
      </c>
    </row>
    <row r="259" ht="15.75" hidden="1" customHeight="1">
      <c r="A259" s="17" t="s">
        <v>2054</v>
      </c>
      <c r="B259" s="23" t="s">
        <v>541</v>
      </c>
      <c r="C259" s="42">
        <v>5390.0</v>
      </c>
      <c r="D259" s="1"/>
      <c r="E259" s="43">
        <v>860.0</v>
      </c>
      <c r="F259" s="1"/>
      <c r="G259" s="43"/>
      <c r="H259" s="1"/>
      <c r="I259" s="1"/>
      <c r="J259" s="1"/>
      <c r="K259" s="3" t="s">
        <v>2</v>
      </c>
      <c r="L259" s="1" t="str">
        <f t="shared" si="1"/>
        <v>#REF!</v>
      </c>
      <c r="M259" s="1" t="str">
        <f t="shared" si="2"/>
        <v>#REF!</v>
      </c>
      <c r="N259" s="1" t="str">
        <f t="shared" si="3"/>
        <v>#REF!</v>
      </c>
    </row>
    <row r="260" ht="15.75" hidden="1" customHeight="1">
      <c r="A260" s="17" t="s">
        <v>76</v>
      </c>
      <c r="B260" s="23" t="s">
        <v>77</v>
      </c>
      <c r="C260" s="42">
        <v>5390.0</v>
      </c>
      <c r="D260" s="1"/>
      <c r="E260" s="43">
        <v>860.0</v>
      </c>
      <c r="F260" s="1"/>
      <c r="G260" s="43"/>
      <c r="H260" s="1"/>
      <c r="I260" s="1"/>
      <c r="J260" s="1"/>
      <c r="K260" s="3" t="s">
        <v>2</v>
      </c>
      <c r="L260" s="1" t="str">
        <f t="shared" si="1"/>
        <v>#REF!</v>
      </c>
      <c r="M260" s="1" t="str">
        <f t="shared" si="2"/>
        <v>#REF!</v>
      </c>
      <c r="N260" s="1" t="str">
        <f t="shared" si="3"/>
        <v>#REF!</v>
      </c>
    </row>
    <row r="261" ht="15.75" hidden="1" customHeight="1">
      <c r="A261" s="17" t="s">
        <v>2055</v>
      </c>
      <c r="B261" s="23" t="s">
        <v>622</v>
      </c>
      <c r="C261" s="42">
        <v>5390.0</v>
      </c>
      <c r="D261" s="1"/>
      <c r="E261" s="43">
        <v>860.0</v>
      </c>
      <c r="F261" s="1"/>
      <c r="G261" s="43"/>
      <c r="H261" s="1"/>
      <c r="I261" s="1"/>
      <c r="J261" s="1"/>
      <c r="K261" s="3" t="s">
        <v>2</v>
      </c>
      <c r="L261" s="1" t="str">
        <f t="shared" si="1"/>
        <v>#REF!</v>
      </c>
      <c r="M261" s="1" t="str">
        <f t="shared" si="2"/>
        <v>#REF!</v>
      </c>
      <c r="N261" s="1" t="str">
        <f t="shared" si="3"/>
        <v>#REF!</v>
      </c>
    </row>
    <row r="262" ht="15.75" hidden="1" customHeight="1">
      <c r="A262" s="17" t="s">
        <v>2056</v>
      </c>
      <c r="B262" s="23" t="s">
        <v>669</v>
      </c>
      <c r="C262" s="42">
        <v>5390.0</v>
      </c>
      <c r="D262" s="1"/>
      <c r="E262" s="43">
        <v>860.0</v>
      </c>
      <c r="F262" s="1"/>
      <c r="G262" s="43"/>
      <c r="H262" s="1"/>
      <c r="I262" s="1"/>
      <c r="J262" s="1"/>
      <c r="K262" s="3" t="s">
        <v>2</v>
      </c>
      <c r="L262" s="1" t="str">
        <f t="shared" si="1"/>
        <v>#REF!</v>
      </c>
      <c r="M262" s="1" t="str">
        <f t="shared" si="2"/>
        <v>#REF!</v>
      </c>
      <c r="N262" s="1" t="str">
        <f t="shared" si="3"/>
        <v>#REF!</v>
      </c>
    </row>
    <row r="263" ht="15.75" hidden="1" customHeight="1">
      <c r="A263" s="17" t="s">
        <v>2057</v>
      </c>
      <c r="B263" s="23" t="s">
        <v>688</v>
      </c>
      <c r="C263" s="42">
        <v>5390.0</v>
      </c>
      <c r="D263" s="1"/>
      <c r="E263" s="43">
        <v>860.0</v>
      </c>
      <c r="F263" s="1"/>
      <c r="G263" s="43"/>
      <c r="H263" s="1"/>
      <c r="I263" s="1"/>
      <c r="J263" s="1"/>
      <c r="K263" s="3" t="s">
        <v>2</v>
      </c>
      <c r="L263" s="1" t="str">
        <f t="shared" si="1"/>
        <v>#REF!</v>
      </c>
      <c r="M263" s="1" t="str">
        <f t="shared" si="2"/>
        <v>#REF!</v>
      </c>
      <c r="N263" s="1" t="str">
        <f t="shared" si="3"/>
        <v>#REF!</v>
      </c>
    </row>
    <row r="264" ht="15.75" hidden="1" customHeight="1">
      <c r="A264" s="17" t="s">
        <v>2058</v>
      </c>
      <c r="B264" s="23" t="s">
        <v>714</v>
      </c>
      <c r="C264" s="42">
        <v>5390.0</v>
      </c>
      <c r="D264" s="1"/>
      <c r="E264" s="43">
        <v>860.0</v>
      </c>
      <c r="F264" s="1"/>
      <c r="G264" s="43"/>
      <c r="H264" s="1"/>
      <c r="I264" s="1"/>
      <c r="J264" s="1"/>
      <c r="K264" s="3" t="s">
        <v>2</v>
      </c>
      <c r="L264" s="1" t="str">
        <f t="shared" si="1"/>
        <v>#REF!</v>
      </c>
      <c r="M264" s="1" t="str">
        <f t="shared" si="2"/>
        <v>#REF!</v>
      </c>
      <c r="N264" s="1" t="str">
        <f t="shared" si="3"/>
        <v>#REF!</v>
      </c>
    </row>
    <row r="265" ht="15.75" hidden="1" customHeight="1">
      <c r="A265" s="17" t="s">
        <v>2059</v>
      </c>
      <c r="B265" s="23" t="s">
        <v>719</v>
      </c>
      <c r="C265" s="42">
        <v>5390.0</v>
      </c>
      <c r="D265" s="1"/>
      <c r="E265" s="43">
        <v>860.0</v>
      </c>
      <c r="F265" s="1"/>
      <c r="G265" s="43"/>
      <c r="H265" s="1"/>
      <c r="I265" s="1"/>
      <c r="J265" s="1"/>
      <c r="K265" s="3" t="s">
        <v>2</v>
      </c>
      <c r="L265" s="1" t="str">
        <f t="shared" si="1"/>
        <v>#REF!</v>
      </c>
      <c r="M265" s="1" t="str">
        <f t="shared" si="2"/>
        <v>#REF!</v>
      </c>
      <c r="N265" s="1" t="str">
        <f t="shared" si="3"/>
        <v>#REF!</v>
      </c>
    </row>
    <row r="266" ht="15.75" hidden="1" customHeight="1">
      <c r="A266" s="17" t="s">
        <v>2060</v>
      </c>
      <c r="B266" s="23" t="s">
        <v>755</v>
      </c>
      <c r="C266" s="42">
        <v>5390.0</v>
      </c>
      <c r="D266" s="1"/>
      <c r="E266" s="43">
        <v>860.0</v>
      </c>
      <c r="F266" s="1"/>
      <c r="G266" s="43"/>
      <c r="H266" s="1"/>
      <c r="I266" s="1"/>
      <c r="J266" s="1"/>
      <c r="K266" s="3" t="s">
        <v>2</v>
      </c>
      <c r="L266" s="1" t="str">
        <f t="shared" si="1"/>
        <v>#REF!</v>
      </c>
      <c r="M266" s="1" t="str">
        <f t="shared" si="2"/>
        <v>#REF!</v>
      </c>
      <c r="N266" s="1" t="str">
        <f t="shared" si="3"/>
        <v>#REF!</v>
      </c>
    </row>
    <row r="267" ht="15.75" hidden="1" customHeight="1">
      <c r="A267" s="17" t="s">
        <v>2061</v>
      </c>
      <c r="B267" s="23" t="s">
        <v>774</v>
      </c>
      <c r="C267" s="42">
        <v>5390.0</v>
      </c>
      <c r="D267" s="1"/>
      <c r="E267" s="43">
        <v>860.0</v>
      </c>
      <c r="F267" s="1"/>
      <c r="G267" s="43"/>
      <c r="H267" s="1"/>
      <c r="I267" s="1"/>
      <c r="J267" s="1"/>
      <c r="K267" s="3" t="s">
        <v>2</v>
      </c>
      <c r="L267" s="1" t="str">
        <f t="shared" si="1"/>
        <v>#REF!</v>
      </c>
      <c r="M267" s="1" t="str">
        <f t="shared" si="2"/>
        <v>#REF!</v>
      </c>
      <c r="N267" s="1" t="str">
        <f t="shared" si="3"/>
        <v>#REF!</v>
      </c>
    </row>
    <row r="268" ht="15.75" hidden="1" customHeight="1">
      <c r="A268" s="17" t="s">
        <v>2062</v>
      </c>
      <c r="B268" s="23" t="s">
        <v>870</v>
      </c>
      <c r="C268" s="42">
        <v>5390.0</v>
      </c>
      <c r="D268" s="1"/>
      <c r="E268" s="43">
        <v>860.0</v>
      </c>
      <c r="F268" s="1"/>
      <c r="G268" s="43"/>
      <c r="H268" s="1"/>
      <c r="I268" s="1"/>
      <c r="J268" s="1"/>
      <c r="K268" s="3" t="s">
        <v>2</v>
      </c>
      <c r="L268" s="1" t="str">
        <f t="shared" si="1"/>
        <v>#REF!</v>
      </c>
      <c r="M268" s="1" t="str">
        <f t="shared" si="2"/>
        <v>#REF!</v>
      </c>
      <c r="N268" s="1" t="str">
        <f t="shared" si="3"/>
        <v>#REF!</v>
      </c>
    </row>
    <row r="269" ht="15.75" hidden="1" customHeight="1">
      <c r="A269" s="17" t="s">
        <v>2063</v>
      </c>
      <c r="B269" s="23" t="s">
        <v>874</v>
      </c>
      <c r="C269" s="42">
        <v>5390.0</v>
      </c>
      <c r="D269" s="1"/>
      <c r="E269" s="43">
        <v>860.0</v>
      </c>
      <c r="F269" s="1"/>
      <c r="G269" s="43">
        <v>34000.0</v>
      </c>
      <c r="H269" s="1"/>
      <c r="I269" s="1"/>
      <c r="J269" s="1"/>
      <c r="K269" s="3" t="s">
        <v>2</v>
      </c>
      <c r="L269" s="1" t="str">
        <f t="shared" si="1"/>
        <v>#REF!</v>
      </c>
      <c r="M269" s="1" t="str">
        <f t="shared" si="2"/>
        <v>#REF!</v>
      </c>
      <c r="N269" s="1" t="str">
        <f t="shared" si="3"/>
        <v>#REF!</v>
      </c>
    </row>
    <row r="270" ht="15.75" hidden="1" customHeight="1">
      <c r="A270" s="17" t="s">
        <v>2064</v>
      </c>
      <c r="B270" s="23" t="s">
        <v>888</v>
      </c>
      <c r="C270" s="42">
        <v>5390.0</v>
      </c>
      <c r="D270" s="1"/>
      <c r="E270" s="43">
        <v>860.0</v>
      </c>
      <c r="F270" s="1"/>
      <c r="G270" s="43"/>
      <c r="H270" s="1"/>
      <c r="I270" s="1"/>
      <c r="J270" s="1"/>
      <c r="K270" s="3" t="s">
        <v>2</v>
      </c>
      <c r="L270" s="1" t="str">
        <f t="shared" si="1"/>
        <v>#REF!</v>
      </c>
      <c r="M270" s="1" t="str">
        <f t="shared" si="2"/>
        <v>#REF!</v>
      </c>
      <c r="N270" s="1" t="str">
        <f t="shared" si="3"/>
        <v>#REF!</v>
      </c>
    </row>
    <row r="271" ht="15.75" hidden="1" customHeight="1">
      <c r="A271" s="17" t="s">
        <v>2065</v>
      </c>
      <c r="B271" s="23" t="s">
        <v>908</v>
      </c>
      <c r="C271" s="42">
        <v>5390.0</v>
      </c>
      <c r="D271" s="1"/>
      <c r="E271" s="43">
        <v>860.0</v>
      </c>
      <c r="F271" s="1"/>
      <c r="G271" s="43"/>
      <c r="H271" s="1"/>
      <c r="I271" s="1"/>
      <c r="J271" s="1"/>
      <c r="K271" s="3" t="s">
        <v>2</v>
      </c>
      <c r="L271" s="1" t="str">
        <f t="shared" si="1"/>
        <v>#REF!</v>
      </c>
      <c r="M271" s="1" t="str">
        <f t="shared" si="2"/>
        <v>#REF!</v>
      </c>
      <c r="N271" s="1" t="str">
        <f t="shared" si="3"/>
        <v>#REF!</v>
      </c>
    </row>
    <row r="272" ht="15.75" hidden="1" customHeight="1">
      <c r="A272" s="17" t="s">
        <v>2066</v>
      </c>
      <c r="B272" s="23" t="s">
        <v>938</v>
      </c>
      <c r="C272" s="42">
        <v>5390.0</v>
      </c>
      <c r="D272" s="1"/>
      <c r="E272" s="43">
        <v>860.0</v>
      </c>
      <c r="F272" s="1"/>
      <c r="G272" s="43">
        <v>17000.0</v>
      </c>
      <c r="H272" s="1"/>
      <c r="I272" s="1"/>
      <c r="J272" s="1"/>
      <c r="K272" s="3" t="s">
        <v>2</v>
      </c>
      <c r="L272" s="1" t="str">
        <f t="shared" si="1"/>
        <v>#REF!</v>
      </c>
      <c r="M272" s="1" t="str">
        <f t="shared" si="2"/>
        <v>#REF!</v>
      </c>
      <c r="N272" s="1" t="str">
        <f t="shared" si="3"/>
        <v>#REF!</v>
      </c>
    </row>
    <row r="273" ht="15.75" hidden="1" customHeight="1">
      <c r="A273" s="17" t="s">
        <v>2067</v>
      </c>
      <c r="B273" s="23" t="s">
        <v>948</v>
      </c>
      <c r="C273" s="42">
        <v>5390.0</v>
      </c>
      <c r="D273" s="1"/>
      <c r="E273" s="43">
        <v>860.0</v>
      </c>
      <c r="F273" s="1"/>
      <c r="G273" s="43">
        <v>8000.0</v>
      </c>
      <c r="H273" s="1"/>
      <c r="I273" s="1"/>
      <c r="J273" s="1"/>
      <c r="K273" s="3" t="s">
        <v>2</v>
      </c>
      <c r="L273" s="1" t="str">
        <f t="shared" si="1"/>
        <v>#REF!</v>
      </c>
      <c r="M273" s="1" t="str">
        <f t="shared" si="2"/>
        <v>#REF!</v>
      </c>
      <c r="N273" s="1" t="str">
        <f t="shared" si="3"/>
        <v>#REF!</v>
      </c>
    </row>
    <row r="274" ht="15.75" hidden="1" customHeight="1">
      <c r="A274" s="17" t="s">
        <v>2068</v>
      </c>
      <c r="B274" s="23" t="s">
        <v>978</v>
      </c>
      <c r="C274" s="42">
        <v>5390.0</v>
      </c>
      <c r="D274" s="1"/>
      <c r="E274" s="43">
        <v>860.0</v>
      </c>
      <c r="F274" s="1"/>
      <c r="G274" s="43"/>
      <c r="H274" s="1"/>
      <c r="I274" s="1"/>
      <c r="J274" s="1"/>
      <c r="K274" s="3" t="s">
        <v>2</v>
      </c>
      <c r="L274" s="1" t="str">
        <f t="shared" si="1"/>
        <v>#REF!</v>
      </c>
      <c r="M274" s="1" t="str">
        <f t="shared" si="2"/>
        <v>#REF!</v>
      </c>
      <c r="N274" s="1" t="str">
        <f t="shared" si="3"/>
        <v>#REF!</v>
      </c>
    </row>
    <row r="275" ht="15.75" hidden="1" customHeight="1">
      <c r="A275" s="17" t="s">
        <v>2069</v>
      </c>
      <c r="B275" s="23" t="s">
        <v>1037</v>
      </c>
      <c r="C275" s="42">
        <v>5390.0</v>
      </c>
      <c r="D275" s="1"/>
      <c r="E275" s="43">
        <v>860.0</v>
      </c>
      <c r="F275" s="1"/>
      <c r="G275" s="43"/>
      <c r="H275" s="1"/>
      <c r="I275" s="1"/>
      <c r="J275" s="1"/>
      <c r="K275" s="3" t="s">
        <v>2</v>
      </c>
      <c r="L275" s="1" t="str">
        <f t="shared" si="1"/>
        <v>#REF!</v>
      </c>
      <c r="M275" s="1" t="str">
        <f t="shared" si="2"/>
        <v>#REF!</v>
      </c>
      <c r="N275" s="1" t="str">
        <f t="shared" si="3"/>
        <v>#REF!</v>
      </c>
    </row>
    <row r="276" ht="15.75" hidden="1" customHeight="1">
      <c r="A276" s="17" t="s">
        <v>2070</v>
      </c>
      <c r="B276" s="23" t="s">
        <v>1042</v>
      </c>
      <c r="C276" s="42">
        <v>5390.0</v>
      </c>
      <c r="D276" s="1"/>
      <c r="E276" s="43">
        <v>860.0</v>
      </c>
      <c r="F276" s="1"/>
      <c r="G276" s="43">
        <v>17000.0</v>
      </c>
      <c r="H276" s="1"/>
      <c r="I276" s="1"/>
      <c r="J276" s="1"/>
      <c r="K276" s="3" t="s">
        <v>2</v>
      </c>
      <c r="L276" s="1" t="str">
        <f t="shared" si="1"/>
        <v>#REF!</v>
      </c>
      <c r="M276" s="1" t="str">
        <f t="shared" si="2"/>
        <v>#REF!</v>
      </c>
      <c r="N276" s="1" t="str">
        <f t="shared" si="3"/>
        <v>#REF!</v>
      </c>
    </row>
    <row r="277" ht="15.75" hidden="1" customHeight="1">
      <c r="A277" s="17" t="s">
        <v>2071</v>
      </c>
      <c r="B277" s="23" t="s">
        <v>1048</v>
      </c>
      <c r="C277" s="42">
        <v>5390.0</v>
      </c>
      <c r="D277" s="1"/>
      <c r="E277" s="43">
        <v>860.0</v>
      </c>
      <c r="F277" s="1"/>
      <c r="G277" s="43"/>
      <c r="H277" s="1"/>
      <c r="I277" s="1"/>
      <c r="J277" s="1"/>
      <c r="K277" s="3" t="s">
        <v>2</v>
      </c>
      <c r="L277" s="1" t="str">
        <f t="shared" si="1"/>
        <v>#REF!</v>
      </c>
      <c r="M277" s="1" t="str">
        <f t="shared" si="2"/>
        <v>#REF!</v>
      </c>
      <c r="N277" s="1" t="str">
        <f t="shared" si="3"/>
        <v>#REF!</v>
      </c>
    </row>
    <row r="278" ht="15.75" hidden="1" customHeight="1">
      <c r="A278" s="17" t="s">
        <v>2072</v>
      </c>
      <c r="B278" s="23" t="s">
        <v>1057</v>
      </c>
      <c r="C278" s="42">
        <v>5390.0</v>
      </c>
      <c r="D278" s="1"/>
      <c r="E278" s="43">
        <v>860.0</v>
      </c>
      <c r="F278" s="1"/>
      <c r="G278" s="43"/>
      <c r="H278" s="1"/>
      <c r="I278" s="1"/>
      <c r="J278" s="1"/>
      <c r="K278" s="3" t="s">
        <v>2</v>
      </c>
      <c r="L278" s="1" t="str">
        <f t="shared" si="1"/>
        <v>#REF!</v>
      </c>
      <c r="M278" s="1" t="str">
        <f t="shared" si="2"/>
        <v>#REF!</v>
      </c>
      <c r="N278" s="1" t="str">
        <f t="shared" si="3"/>
        <v>#REF!</v>
      </c>
    </row>
    <row r="279" ht="15.75" hidden="1" customHeight="1">
      <c r="A279" s="17" t="s">
        <v>2073</v>
      </c>
      <c r="B279" s="23" t="s">
        <v>1075</v>
      </c>
      <c r="C279" s="42">
        <v>5390.0</v>
      </c>
      <c r="D279" s="1"/>
      <c r="E279" s="43">
        <v>860.0</v>
      </c>
      <c r="F279" s="1"/>
      <c r="G279" s="43"/>
      <c r="H279" s="1"/>
      <c r="I279" s="1"/>
      <c r="J279" s="1"/>
      <c r="K279" s="3" t="s">
        <v>2</v>
      </c>
      <c r="L279" s="1" t="str">
        <f t="shared" si="1"/>
        <v>#REF!</v>
      </c>
      <c r="M279" s="1" t="str">
        <f t="shared" si="2"/>
        <v>#REF!</v>
      </c>
      <c r="N279" s="1" t="str">
        <f t="shared" si="3"/>
        <v>#REF!</v>
      </c>
    </row>
    <row r="280" ht="15.75" hidden="1" customHeight="1">
      <c r="A280" s="17" t="s">
        <v>2074</v>
      </c>
      <c r="B280" s="23" t="s">
        <v>1082</v>
      </c>
      <c r="C280" s="42">
        <v>5390.0</v>
      </c>
      <c r="D280" s="1"/>
      <c r="E280" s="43">
        <v>860.0</v>
      </c>
      <c r="F280" s="1"/>
      <c r="G280" s="43"/>
      <c r="H280" s="1"/>
      <c r="I280" s="1"/>
      <c r="J280" s="1"/>
      <c r="K280" s="3" t="s">
        <v>2</v>
      </c>
      <c r="L280" s="1" t="str">
        <f t="shared" si="1"/>
        <v>#REF!</v>
      </c>
      <c r="M280" s="1" t="str">
        <f t="shared" si="2"/>
        <v>#REF!</v>
      </c>
      <c r="N280" s="1" t="str">
        <f t="shared" si="3"/>
        <v>#REF!</v>
      </c>
    </row>
    <row r="281" ht="15.75" hidden="1" customHeight="1">
      <c r="A281" s="17" t="s">
        <v>2075</v>
      </c>
      <c r="B281" s="23" t="s">
        <v>1162</v>
      </c>
      <c r="C281" s="42">
        <v>5390.0</v>
      </c>
      <c r="D281" s="1"/>
      <c r="E281" s="43">
        <v>860.0</v>
      </c>
      <c r="F281" s="1"/>
      <c r="G281" s="43"/>
      <c r="H281" s="1"/>
      <c r="I281" s="1"/>
      <c r="J281" s="1"/>
      <c r="K281" s="3" t="s">
        <v>2</v>
      </c>
      <c r="L281" s="1" t="str">
        <f t="shared" si="1"/>
        <v>#REF!</v>
      </c>
      <c r="M281" s="1" t="str">
        <f t="shared" si="2"/>
        <v>#REF!</v>
      </c>
      <c r="N281" s="1" t="str">
        <f t="shared" si="3"/>
        <v>#REF!</v>
      </c>
    </row>
    <row r="282" ht="15.75" hidden="1" customHeight="1">
      <c r="A282" s="17" t="s">
        <v>2076</v>
      </c>
      <c r="B282" s="23" t="s">
        <v>1166</v>
      </c>
      <c r="C282" s="42">
        <v>5390.0</v>
      </c>
      <c r="D282" s="1"/>
      <c r="E282" s="43">
        <v>860.0</v>
      </c>
      <c r="F282" s="1"/>
      <c r="G282" s="43"/>
      <c r="H282" s="1"/>
      <c r="I282" s="1"/>
      <c r="J282" s="1"/>
      <c r="K282" s="3" t="s">
        <v>2</v>
      </c>
      <c r="L282" s="1" t="str">
        <f t="shared" si="1"/>
        <v>#REF!</v>
      </c>
      <c r="M282" s="1" t="str">
        <f t="shared" si="2"/>
        <v>#REF!</v>
      </c>
      <c r="N282" s="1" t="str">
        <f t="shared" si="3"/>
        <v>#REF!</v>
      </c>
    </row>
    <row r="283" ht="15.75" hidden="1" customHeight="1">
      <c r="A283" s="17" t="s">
        <v>2077</v>
      </c>
      <c r="B283" s="23" t="s">
        <v>1182</v>
      </c>
      <c r="C283" s="42">
        <v>5390.0</v>
      </c>
      <c r="D283" s="1"/>
      <c r="E283" s="43">
        <v>860.0</v>
      </c>
      <c r="F283" s="1"/>
      <c r="G283" s="43"/>
      <c r="H283" s="1"/>
      <c r="I283" s="1"/>
      <c r="J283" s="1"/>
      <c r="K283" s="3" t="s">
        <v>2</v>
      </c>
      <c r="L283" s="1" t="str">
        <f t="shared" si="1"/>
        <v>#REF!</v>
      </c>
      <c r="M283" s="1" t="str">
        <f t="shared" si="2"/>
        <v>#REF!</v>
      </c>
      <c r="N283" s="1" t="str">
        <f t="shared" si="3"/>
        <v>#REF!</v>
      </c>
    </row>
    <row r="284" ht="15.75" hidden="1" customHeight="1">
      <c r="A284" s="17" t="s">
        <v>2078</v>
      </c>
      <c r="B284" s="23" t="s">
        <v>1233</v>
      </c>
      <c r="C284" s="42">
        <v>5390.0</v>
      </c>
      <c r="D284" s="1"/>
      <c r="E284" s="43">
        <v>860.0</v>
      </c>
      <c r="F284" s="1"/>
      <c r="G284" s="43">
        <v>34000.0</v>
      </c>
      <c r="H284" s="1"/>
      <c r="I284" s="1"/>
      <c r="J284" s="1"/>
      <c r="K284" s="3" t="s">
        <v>2</v>
      </c>
      <c r="L284" s="1" t="str">
        <f t="shared" si="1"/>
        <v>#REF!</v>
      </c>
      <c r="M284" s="1" t="str">
        <f t="shared" si="2"/>
        <v>#REF!</v>
      </c>
      <c r="N284" s="1" t="str">
        <f t="shared" si="3"/>
        <v>#REF!</v>
      </c>
    </row>
    <row r="285" ht="15.75" hidden="1" customHeight="1">
      <c r="A285" s="17" t="s">
        <v>2079</v>
      </c>
      <c r="B285" s="23" t="s">
        <v>1237</v>
      </c>
      <c r="C285" s="42">
        <v>5390.0</v>
      </c>
      <c r="D285" s="1"/>
      <c r="E285" s="43">
        <v>860.0</v>
      </c>
      <c r="F285" s="26"/>
      <c r="G285" s="43">
        <v>34000.0</v>
      </c>
      <c r="H285" s="26"/>
      <c r="I285" s="26"/>
      <c r="J285" s="1"/>
      <c r="K285" s="3" t="s">
        <v>2</v>
      </c>
      <c r="L285" s="1" t="str">
        <f t="shared" si="1"/>
        <v>#REF!</v>
      </c>
      <c r="M285" s="1" t="str">
        <f t="shared" si="2"/>
        <v>#REF!</v>
      </c>
      <c r="N285" s="1" t="str">
        <f t="shared" si="3"/>
        <v>#REF!</v>
      </c>
    </row>
    <row r="286" ht="15.75" hidden="1" customHeight="1">
      <c r="A286" s="17" t="s">
        <v>2080</v>
      </c>
      <c r="B286" s="23" t="s">
        <v>1302</v>
      </c>
      <c r="C286" s="42">
        <v>5390.0</v>
      </c>
      <c r="D286" s="1"/>
      <c r="E286" s="43">
        <v>860.0</v>
      </c>
      <c r="F286" s="26"/>
      <c r="G286" s="43"/>
      <c r="H286" s="26"/>
      <c r="I286" s="26"/>
      <c r="J286" s="1"/>
      <c r="K286" s="3" t="s">
        <v>2</v>
      </c>
      <c r="L286" s="1" t="str">
        <f t="shared" si="1"/>
        <v>#REF!</v>
      </c>
      <c r="M286" s="1" t="str">
        <f t="shared" si="2"/>
        <v>#REF!</v>
      </c>
      <c r="N286" s="1" t="str">
        <f t="shared" si="3"/>
        <v>#REF!</v>
      </c>
    </row>
    <row r="287" ht="15.75" hidden="1" customHeight="1">
      <c r="A287" s="17" t="s">
        <v>2081</v>
      </c>
      <c r="B287" s="23" t="s">
        <v>1319</v>
      </c>
      <c r="C287" s="42">
        <v>5390.0</v>
      </c>
      <c r="D287" s="1"/>
      <c r="E287" s="43">
        <v>860.0</v>
      </c>
      <c r="F287" s="1"/>
      <c r="G287" s="43"/>
      <c r="H287" s="1"/>
      <c r="I287" s="1"/>
      <c r="J287" s="1"/>
      <c r="K287" s="3" t="s">
        <v>2</v>
      </c>
      <c r="L287" s="1" t="str">
        <f t="shared" si="1"/>
        <v>#REF!</v>
      </c>
      <c r="M287" s="1" t="str">
        <f t="shared" si="2"/>
        <v>#REF!</v>
      </c>
      <c r="N287" s="1" t="str">
        <f t="shared" si="3"/>
        <v>#REF!</v>
      </c>
    </row>
    <row r="288" ht="15.75" hidden="1" customHeight="1">
      <c r="A288" s="17" t="s">
        <v>2082</v>
      </c>
      <c r="B288" s="23" t="s">
        <v>1328</v>
      </c>
      <c r="C288" s="42">
        <v>5390.0</v>
      </c>
      <c r="D288" s="1"/>
      <c r="E288" s="43">
        <v>860.0</v>
      </c>
      <c r="F288" s="1"/>
      <c r="G288" s="43"/>
      <c r="H288" s="1"/>
      <c r="I288" s="1"/>
      <c r="J288" s="1"/>
      <c r="K288" s="3" t="s">
        <v>2</v>
      </c>
      <c r="L288" s="1" t="str">
        <f t="shared" si="1"/>
        <v>#REF!</v>
      </c>
      <c r="M288" s="1" t="str">
        <f t="shared" si="2"/>
        <v>#REF!</v>
      </c>
      <c r="N288" s="1" t="str">
        <f t="shared" si="3"/>
        <v>#REF!</v>
      </c>
    </row>
    <row r="289" ht="15.75" hidden="1" customHeight="1">
      <c r="A289" s="17" t="s">
        <v>2083</v>
      </c>
      <c r="B289" s="23" t="s">
        <v>1395</v>
      </c>
      <c r="C289" s="42">
        <v>5390.0</v>
      </c>
      <c r="D289" s="1"/>
      <c r="E289" s="43">
        <v>860.0</v>
      </c>
      <c r="F289" s="1"/>
      <c r="G289" s="43"/>
      <c r="H289" s="1"/>
      <c r="I289" s="1"/>
      <c r="J289" s="1"/>
      <c r="K289" s="3" t="s">
        <v>2</v>
      </c>
      <c r="L289" s="1" t="str">
        <f t="shared" si="1"/>
        <v>#REF!</v>
      </c>
      <c r="M289" s="1" t="str">
        <f t="shared" si="2"/>
        <v>#REF!</v>
      </c>
      <c r="N289" s="1" t="str">
        <f t="shared" si="3"/>
        <v>#REF!</v>
      </c>
    </row>
    <row r="290" ht="15.75" hidden="1" customHeight="1">
      <c r="A290" s="17" t="s">
        <v>2084</v>
      </c>
      <c r="B290" s="23" t="s">
        <v>1443</v>
      </c>
      <c r="C290" s="42">
        <v>5390.0</v>
      </c>
      <c r="D290" s="1"/>
      <c r="E290" s="43">
        <v>860.0</v>
      </c>
      <c r="F290" s="1"/>
      <c r="G290" s="43"/>
      <c r="H290" s="1"/>
      <c r="I290" s="1"/>
      <c r="J290" s="1"/>
      <c r="K290" s="3" t="s">
        <v>2</v>
      </c>
      <c r="L290" s="1" t="str">
        <f t="shared" si="1"/>
        <v>#REF!</v>
      </c>
      <c r="M290" s="1" t="str">
        <f t="shared" si="2"/>
        <v>#REF!</v>
      </c>
      <c r="N290" s="1" t="str">
        <f t="shared" si="3"/>
        <v>#REF!</v>
      </c>
    </row>
    <row r="291" ht="15.75" hidden="1" customHeight="1">
      <c r="A291" s="17" t="s">
        <v>2085</v>
      </c>
      <c r="B291" s="23" t="s">
        <v>1479</v>
      </c>
      <c r="C291" s="42">
        <v>5390.0</v>
      </c>
      <c r="D291" s="1"/>
      <c r="E291" s="43">
        <v>860.0</v>
      </c>
      <c r="F291" s="1"/>
      <c r="G291" s="43"/>
      <c r="H291" s="1"/>
      <c r="I291" s="1"/>
      <c r="J291" s="1"/>
      <c r="K291" s="3" t="s">
        <v>2</v>
      </c>
      <c r="L291" s="1" t="str">
        <f t="shared" si="1"/>
        <v>#REF!</v>
      </c>
      <c r="M291" s="1" t="str">
        <f t="shared" si="2"/>
        <v>#REF!</v>
      </c>
      <c r="N291" s="1" t="str">
        <f t="shared" si="3"/>
        <v>#REF!</v>
      </c>
    </row>
    <row r="292" ht="15.75" hidden="1" customHeight="1">
      <c r="A292" s="17" t="s">
        <v>2086</v>
      </c>
      <c r="B292" s="23" t="s">
        <v>1513</v>
      </c>
      <c r="C292" s="42">
        <v>5390.0</v>
      </c>
      <c r="D292" s="1"/>
      <c r="E292" s="43">
        <v>860.0</v>
      </c>
      <c r="F292" s="1"/>
      <c r="G292" s="43">
        <v>17000.0</v>
      </c>
      <c r="H292" s="1"/>
      <c r="I292" s="1"/>
      <c r="J292" s="1"/>
      <c r="K292" s="3" t="s">
        <v>2</v>
      </c>
      <c r="L292" s="1" t="str">
        <f t="shared" si="1"/>
        <v>#REF!</v>
      </c>
      <c r="M292" s="1" t="str">
        <f t="shared" si="2"/>
        <v>#REF!</v>
      </c>
      <c r="N292" s="1" t="str">
        <f t="shared" si="3"/>
        <v>#REF!</v>
      </c>
    </row>
    <row r="293" ht="15.75" hidden="1" customHeight="1">
      <c r="A293" s="17" t="s">
        <v>2087</v>
      </c>
      <c r="B293" s="23" t="s">
        <v>1589</v>
      </c>
      <c r="C293" s="42">
        <v>5390.0</v>
      </c>
      <c r="D293" s="1"/>
      <c r="E293" s="43">
        <v>860.0</v>
      </c>
      <c r="F293" s="1"/>
      <c r="G293" s="43">
        <v>34000.0</v>
      </c>
      <c r="H293" s="1"/>
      <c r="I293" s="1"/>
      <c r="J293" s="1"/>
      <c r="K293" s="3" t="s">
        <v>2</v>
      </c>
      <c r="L293" s="1" t="str">
        <f t="shared" si="1"/>
        <v>#REF!</v>
      </c>
      <c r="M293" s="1" t="str">
        <f t="shared" si="2"/>
        <v>#REF!</v>
      </c>
      <c r="N293" s="1" t="str">
        <f t="shared" si="3"/>
        <v>#REF!</v>
      </c>
    </row>
    <row r="294" ht="15.75" hidden="1" customHeight="1">
      <c r="A294" s="17" t="s">
        <v>2088</v>
      </c>
      <c r="B294" s="23" t="s">
        <v>1623</v>
      </c>
      <c r="C294" s="42">
        <v>5390.0</v>
      </c>
      <c r="D294" s="1"/>
      <c r="E294" s="43">
        <v>860.0</v>
      </c>
      <c r="F294" s="1"/>
      <c r="G294" s="43"/>
      <c r="H294" s="1"/>
      <c r="I294" s="1"/>
      <c r="J294" s="1"/>
      <c r="K294" s="3" t="s">
        <v>2</v>
      </c>
      <c r="L294" s="1" t="str">
        <f t="shared" si="1"/>
        <v>#REF!</v>
      </c>
      <c r="M294" s="1" t="str">
        <f t="shared" si="2"/>
        <v>#REF!</v>
      </c>
      <c r="N294" s="1" t="str">
        <f t="shared" si="3"/>
        <v>#REF!</v>
      </c>
    </row>
    <row r="295" ht="15.75" hidden="1" customHeight="1">
      <c r="A295" s="17" t="s">
        <v>2089</v>
      </c>
      <c r="B295" s="23" t="s">
        <v>1637</v>
      </c>
      <c r="C295" s="42">
        <v>5390.0</v>
      </c>
      <c r="D295" s="1"/>
      <c r="E295" s="43">
        <v>860.0</v>
      </c>
      <c r="F295" s="1"/>
      <c r="G295" s="43"/>
      <c r="H295" s="1"/>
      <c r="I295" s="1"/>
      <c r="J295" s="1"/>
      <c r="K295" s="3" t="s">
        <v>2</v>
      </c>
      <c r="L295" s="1" t="str">
        <f t="shared" si="1"/>
        <v>#REF!</v>
      </c>
      <c r="M295" s="1" t="str">
        <f t="shared" si="2"/>
        <v>#REF!</v>
      </c>
      <c r="N295" s="1" t="str">
        <f t="shared" si="3"/>
        <v>#REF!</v>
      </c>
    </row>
    <row r="296" ht="15.75" hidden="1" customHeight="1">
      <c r="A296" s="17" t="s">
        <v>2090</v>
      </c>
      <c r="B296" s="23" t="s">
        <v>1657</v>
      </c>
      <c r="C296" s="42">
        <v>5390.0</v>
      </c>
      <c r="D296" s="1"/>
      <c r="E296" s="43">
        <v>860.0</v>
      </c>
      <c r="F296" s="1"/>
      <c r="G296" s="43"/>
      <c r="H296" s="1"/>
      <c r="I296" s="1"/>
      <c r="J296" s="1"/>
      <c r="K296" s="3" t="s">
        <v>2</v>
      </c>
      <c r="L296" s="1" t="str">
        <f t="shared" si="1"/>
        <v>#REF!</v>
      </c>
      <c r="M296" s="1" t="str">
        <f t="shared" si="2"/>
        <v>#REF!</v>
      </c>
      <c r="N296" s="1" t="str">
        <f t="shared" si="3"/>
        <v>#REF!</v>
      </c>
    </row>
    <row r="297" ht="15.75" hidden="1" customHeight="1">
      <c r="A297" s="17" t="s">
        <v>2091</v>
      </c>
      <c r="B297" s="23" t="s">
        <v>1755</v>
      </c>
      <c r="C297" s="42">
        <v>5390.0</v>
      </c>
      <c r="D297" s="1"/>
      <c r="E297" s="43">
        <v>860.0</v>
      </c>
      <c r="F297" s="1"/>
      <c r="G297" s="43"/>
      <c r="H297" s="1"/>
      <c r="I297" s="1"/>
      <c r="J297" s="1"/>
      <c r="K297" s="3" t="s">
        <v>2</v>
      </c>
      <c r="L297" s="1" t="str">
        <f t="shared" si="1"/>
        <v>#REF!</v>
      </c>
      <c r="M297" s="1" t="str">
        <f t="shared" si="2"/>
        <v>#REF!</v>
      </c>
      <c r="N297" s="1" t="str">
        <f t="shared" si="3"/>
        <v>#REF!</v>
      </c>
    </row>
    <row r="298" ht="15.75" hidden="1" customHeight="1">
      <c r="A298" s="17" t="s">
        <v>2092</v>
      </c>
      <c r="B298" s="23" t="s">
        <v>1758</v>
      </c>
      <c r="C298" s="42">
        <v>5390.0</v>
      </c>
      <c r="D298" s="1"/>
      <c r="E298" s="43">
        <v>860.0</v>
      </c>
      <c r="F298" s="1"/>
      <c r="G298" s="43"/>
      <c r="H298" s="1"/>
      <c r="I298" s="1"/>
      <c r="J298" s="1"/>
      <c r="K298" s="3" t="s">
        <v>2</v>
      </c>
      <c r="L298" s="1" t="str">
        <f t="shared" si="1"/>
        <v>#REF!</v>
      </c>
      <c r="M298" s="1" t="str">
        <f t="shared" si="2"/>
        <v>#REF!</v>
      </c>
      <c r="N298" s="1" t="str">
        <f t="shared" si="3"/>
        <v>#REF!</v>
      </c>
    </row>
    <row r="299" ht="15.75" hidden="1" customHeight="1">
      <c r="A299" s="17" t="s">
        <v>2093</v>
      </c>
      <c r="B299" s="23" t="s">
        <v>1783</v>
      </c>
      <c r="C299" s="42">
        <v>5390.0</v>
      </c>
      <c r="D299" s="1"/>
      <c r="E299" s="43">
        <v>860.0</v>
      </c>
      <c r="F299" s="1"/>
      <c r="G299" s="43"/>
      <c r="H299" s="1"/>
      <c r="I299" s="1"/>
      <c r="J299" s="1"/>
      <c r="K299" s="3" t="s">
        <v>2</v>
      </c>
      <c r="L299" s="1" t="str">
        <f t="shared" si="1"/>
        <v>#REF!</v>
      </c>
      <c r="M299" s="1" t="str">
        <f t="shared" si="2"/>
        <v>#REF!</v>
      </c>
      <c r="N299" s="1" t="str">
        <f t="shared" si="3"/>
        <v>#REF!</v>
      </c>
    </row>
    <row r="300" ht="15.75" hidden="1" customHeight="1">
      <c r="A300" s="17" t="s">
        <v>2094</v>
      </c>
      <c r="B300" s="23" t="s">
        <v>1790</v>
      </c>
      <c r="C300" s="42">
        <v>5390.0</v>
      </c>
      <c r="D300" s="1"/>
      <c r="E300" s="43">
        <v>860.0</v>
      </c>
      <c r="F300" s="1"/>
      <c r="G300" s="43"/>
      <c r="H300" s="1"/>
      <c r="I300" s="1"/>
      <c r="J300" s="1"/>
      <c r="K300" s="3" t="s">
        <v>2</v>
      </c>
      <c r="L300" s="1" t="str">
        <f t="shared" si="1"/>
        <v>#REF!</v>
      </c>
      <c r="M300" s="1" t="str">
        <f t="shared" si="2"/>
        <v>#REF!</v>
      </c>
      <c r="N300" s="1" t="str">
        <f t="shared" si="3"/>
        <v>#REF!</v>
      </c>
    </row>
    <row r="301" ht="15.75" hidden="1" customHeight="1">
      <c r="A301" s="17" t="s">
        <v>2095</v>
      </c>
      <c r="B301" s="23" t="s">
        <v>1794</v>
      </c>
      <c r="C301" s="42">
        <v>5390.0</v>
      </c>
      <c r="D301" s="1"/>
      <c r="E301" s="43">
        <v>860.0</v>
      </c>
      <c r="F301" s="1"/>
      <c r="G301" s="43"/>
      <c r="H301" s="1"/>
      <c r="I301" s="1"/>
      <c r="J301" s="1"/>
      <c r="K301" s="3" t="s">
        <v>2</v>
      </c>
      <c r="L301" s="1" t="str">
        <f t="shared" si="1"/>
        <v>#REF!</v>
      </c>
      <c r="M301" s="1" t="str">
        <f t="shared" si="2"/>
        <v>#REF!</v>
      </c>
      <c r="N301" s="1" t="str">
        <f t="shared" si="3"/>
        <v>#REF!</v>
      </c>
    </row>
    <row r="302" ht="15.75" hidden="1" customHeight="1">
      <c r="A302" s="17" t="s">
        <v>2096</v>
      </c>
      <c r="B302" s="23" t="s">
        <v>1797</v>
      </c>
      <c r="C302" s="42">
        <v>5390.0</v>
      </c>
      <c r="D302" s="1"/>
      <c r="E302" s="43">
        <v>860.0</v>
      </c>
      <c r="F302" s="1"/>
      <c r="G302" s="43"/>
      <c r="H302" s="1"/>
      <c r="I302" s="1"/>
      <c r="J302" s="1"/>
      <c r="K302" s="3" t="s">
        <v>2</v>
      </c>
      <c r="L302" s="1" t="str">
        <f t="shared" si="1"/>
        <v>#REF!</v>
      </c>
      <c r="M302" s="1" t="str">
        <f t="shared" si="2"/>
        <v>#REF!</v>
      </c>
      <c r="N302" s="1" t="str">
        <f t="shared" si="3"/>
        <v>#REF!</v>
      </c>
    </row>
    <row r="303" ht="15.75" hidden="1" customHeight="1">
      <c r="A303" s="17" t="s">
        <v>2097</v>
      </c>
      <c r="B303" s="23" t="s">
        <v>1825</v>
      </c>
      <c r="C303" s="42">
        <v>5390.0</v>
      </c>
      <c r="D303" s="1"/>
      <c r="E303" s="43">
        <v>860.0</v>
      </c>
      <c r="F303" s="1"/>
      <c r="G303" s="43"/>
      <c r="H303" s="1"/>
      <c r="I303" s="1"/>
      <c r="J303" s="1"/>
      <c r="K303" s="3" t="s">
        <v>2</v>
      </c>
      <c r="L303" s="1" t="str">
        <f t="shared" si="1"/>
        <v>#REF!</v>
      </c>
      <c r="M303" s="1" t="str">
        <f t="shared" si="2"/>
        <v>#REF!</v>
      </c>
      <c r="N303" s="1" t="str">
        <f t="shared" si="3"/>
        <v>#REF!</v>
      </c>
    </row>
    <row r="304" ht="15.75" hidden="1" customHeight="1">
      <c r="A304" s="17" t="s">
        <v>2098</v>
      </c>
      <c r="B304" s="23" t="s">
        <v>1851</v>
      </c>
      <c r="C304" s="42">
        <v>5390.0</v>
      </c>
      <c r="D304" s="1"/>
      <c r="E304" s="43">
        <v>860.0</v>
      </c>
      <c r="F304" s="1"/>
      <c r="G304" s="43"/>
      <c r="H304" s="1"/>
      <c r="I304" s="1"/>
      <c r="J304" s="1"/>
      <c r="K304" s="3" t="s">
        <v>2</v>
      </c>
      <c r="L304" s="1" t="str">
        <f t="shared" si="1"/>
        <v>#REF!</v>
      </c>
      <c r="M304" s="1" t="str">
        <f t="shared" si="2"/>
        <v>#REF!</v>
      </c>
      <c r="N304" s="1" t="str">
        <f t="shared" si="3"/>
        <v>#REF!</v>
      </c>
    </row>
    <row r="305" ht="15.75" hidden="1" customHeight="1">
      <c r="A305" s="17" t="s">
        <v>2099</v>
      </c>
      <c r="B305" s="23" t="s">
        <v>1860</v>
      </c>
      <c r="C305" s="42">
        <v>5390.0</v>
      </c>
      <c r="D305" s="1"/>
      <c r="E305" s="43">
        <v>860.0</v>
      </c>
      <c r="F305" s="1"/>
      <c r="G305" s="43"/>
      <c r="H305" s="1"/>
      <c r="I305" s="1"/>
      <c r="J305" s="1"/>
      <c r="K305" s="3" t="s">
        <v>2</v>
      </c>
      <c r="L305" s="1" t="str">
        <f t="shared" si="1"/>
        <v>#REF!</v>
      </c>
      <c r="M305" s="1" t="str">
        <f t="shared" si="2"/>
        <v>#REF!</v>
      </c>
      <c r="N305" s="1" t="str">
        <f t="shared" si="3"/>
        <v>#REF!</v>
      </c>
    </row>
    <row r="306" ht="15.75" hidden="1" customHeight="1">
      <c r="A306" s="17" t="s">
        <v>2100</v>
      </c>
      <c r="B306" s="23" t="s">
        <v>1866</v>
      </c>
      <c r="C306" s="42">
        <v>5390.0</v>
      </c>
      <c r="D306" s="1"/>
      <c r="E306" s="43">
        <v>860.0</v>
      </c>
      <c r="F306" s="1"/>
      <c r="G306" s="43"/>
      <c r="H306" s="1"/>
      <c r="I306" s="1"/>
      <c r="J306" s="1"/>
      <c r="K306" s="3" t="s">
        <v>2</v>
      </c>
      <c r="L306" s="1" t="str">
        <f t="shared" si="1"/>
        <v>#REF!</v>
      </c>
      <c r="M306" s="1" t="str">
        <f t="shared" si="2"/>
        <v>#REF!</v>
      </c>
      <c r="N306" s="1" t="str">
        <f t="shared" si="3"/>
        <v>#REF!</v>
      </c>
    </row>
    <row r="307" ht="15.75" hidden="1" customHeight="1">
      <c r="A307" s="17" t="s">
        <v>2101</v>
      </c>
      <c r="B307" s="23" t="s">
        <v>1886</v>
      </c>
      <c r="C307" s="42">
        <v>5390.0</v>
      </c>
      <c r="D307" s="1"/>
      <c r="E307" s="43">
        <v>860.0</v>
      </c>
      <c r="F307" s="1"/>
      <c r="G307" s="43"/>
      <c r="H307" s="1"/>
      <c r="I307" s="1"/>
      <c r="J307" s="1"/>
      <c r="K307" s="3" t="s">
        <v>2</v>
      </c>
      <c r="L307" s="1" t="str">
        <f t="shared" si="1"/>
        <v>#REF!</v>
      </c>
      <c r="M307" s="1" t="str">
        <f t="shared" si="2"/>
        <v>#REF!</v>
      </c>
      <c r="N307" s="1" t="str">
        <f t="shared" si="3"/>
        <v>#REF!</v>
      </c>
    </row>
    <row r="308" ht="15.75" hidden="1" customHeight="1">
      <c r="A308" s="17" t="s">
        <v>2102</v>
      </c>
      <c r="B308" s="23" t="s">
        <v>1944</v>
      </c>
      <c r="C308" s="42">
        <v>5390.0</v>
      </c>
      <c r="D308" s="1"/>
      <c r="E308" s="43">
        <v>860.0</v>
      </c>
      <c r="F308" s="1"/>
      <c r="G308" s="43"/>
      <c r="H308" s="1"/>
      <c r="I308" s="1"/>
      <c r="J308" s="1"/>
      <c r="K308" s="3" t="s">
        <v>2</v>
      </c>
      <c r="L308" s="1" t="str">
        <f t="shared" si="1"/>
        <v>#REF!</v>
      </c>
      <c r="M308" s="1" t="str">
        <f t="shared" si="2"/>
        <v>#REF!</v>
      </c>
      <c r="N308" s="1" t="str">
        <f t="shared" si="3"/>
        <v>#REF!</v>
      </c>
    </row>
    <row r="309" ht="15.75" hidden="1" customHeight="1">
      <c r="A309" s="17" t="s">
        <v>2103</v>
      </c>
      <c r="B309" s="23" t="s">
        <v>1283</v>
      </c>
      <c r="C309" s="42">
        <v>5000.0</v>
      </c>
      <c r="D309" s="1"/>
      <c r="E309" s="26"/>
      <c r="F309" s="1"/>
      <c r="G309" s="43"/>
      <c r="H309" s="1"/>
      <c r="I309" s="1"/>
      <c r="J309" s="1" t="s">
        <v>53</v>
      </c>
      <c r="K309" s="12" t="s">
        <v>21</v>
      </c>
      <c r="L309" s="1" t="str">
        <f t="shared" si="1"/>
        <v>#REF!</v>
      </c>
      <c r="M309" s="1" t="str">
        <f t="shared" si="2"/>
        <v>#REF!</v>
      </c>
      <c r="N309" s="1" t="str">
        <f t="shared" si="3"/>
        <v>#REF!</v>
      </c>
    </row>
    <row r="310" ht="15.75" hidden="1" customHeight="1">
      <c r="A310" s="17" t="s">
        <v>2104</v>
      </c>
      <c r="B310" s="23" t="s">
        <v>1272</v>
      </c>
      <c r="C310" s="42">
        <v>5000.0</v>
      </c>
      <c r="D310" s="1"/>
      <c r="E310" s="26"/>
      <c r="F310" s="1"/>
      <c r="G310" s="43"/>
      <c r="H310" s="1"/>
      <c r="I310" s="1"/>
      <c r="J310" s="1"/>
      <c r="K310" s="12" t="s">
        <v>21</v>
      </c>
      <c r="L310" s="1" t="str">
        <f t="shared" si="1"/>
        <v>#REF!</v>
      </c>
      <c r="M310" s="1" t="str">
        <f t="shared" si="2"/>
        <v>#REF!</v>
      </c>
      <c r="N310" s="1" t="str">
        <f t="shared" si="3"/>
        <v>#REF!</v>
      </c>
    </row>
    <row r="311" ht="15.75" hidden="1" customHeight="1">
      <c r="A311" s="17" t="s">
        <v>2105</v>
      </c>
      <c r="B311" s="23" t="s">
        <v>640</v>
      </c>
      <c r="C311" s="42">
        <v>5000.0</v>
      </c>
      <c r="D311" s="1"/>
      <c r="E311" s="26"/>
      <c r="F311" s="1"/>
      <c r="G311" s="43"/>
      <c r="H311" s="1"/>
      <c r="I311" s="1"/>
      <c r="J311" s="1"/>
      <c r="K311" s="12" t="s">
        <v>21</v>
      </c>
      <c r="L311" s="1" t="str">
        <f t="shared" si="1"/>
        <v>#REF!</v>
      </c>
      <c r="M311" s="1" t="str">
        <f t="shared" si="2"/>
        <v>#REF!</v>
      </c>
      <c r="N311" s="1" t="str">
        <f t="shared" si="3"/>
        <v>#REF!</v>
      </c>
    </row>
    <row r="312" ht="15.75" hidden="1" customHeight="1">
      <c r="A312" s="17" t="s">
        <v>59</v>
      </c>
      <c r="B312" s="23" t="s">
        <v>1539</v>
      </c>
      <c r="C312" s="42">
        <v>5000.0</v>
      </c>
      <c r="D312" s="1"/>
      <c r="E312" s="26"/>
      <c r="F312" s="1"/>
      <c r="G312" s="43"/>
      <c r="H312" s="1"/>
      <c r="I312" s="1"/>
      <c r="J312" s="1"/>
      <c r="K312" s="12" t="s">
        <v>21</v>
      </c>
      <c r="L312" s="1" t="str">
        <f t="shared" si="1"/>
        <v>#REF!</v>
      </c>
      <c r="M312" s="1" t="str">
        <f t="shared" si="2"/>
        <v>#REF!</v>
      </c>
      <c r="N312" s="1" t="str">
        <f t="shared" si="3"/>
        <v>#REF!</v>
      </c>
    </row>
    <row r="313" ht="15.75" hidden="1" customHeight="1">
      <c r="A313" s="17" t="s">
        <v>2106</v>
      </c>
      <c r="B313" s="23" t="s">
        <v>385</v>
      </c>
      <c r="C313" s="42">
        <v>5000.0</v>
      </c>
      <c r="D313" s="1"/>
      <c r="E313" s="26"/>
      <c r="F313" s="1"/>
      <c r="G313" s="43"/>
      <c r="H313" s="1"/>
      <c r="I313" s="1"/>
      <c r="J313" s="1" t="s">
        <v>53</v>
      </c>
      <c r="K313" s="12" t="s">
        <v>21</v>
      </c>
      <c r="L313" s="1" t="str">
        <f t="shared" si="1"/>
        <v>#REF!</v>
      </c>
      <c r="M313" s="1" t="str">
        <f t="shared" si="2"/>
        <v>#REF!</v>
      </c>
      <c r="N313" s="1" t="str">
        <f t="shared" si="3"/>
        <v>#REF!</v>
      </c>
    </row>
    <row r="314" ht="15.75" hidden="1" customHeight="1">
      <c r="A314" s="17" t="s">
        <v>2107</v>
      </c>
      <c r="B314" s="23" t="s">
        <v>1107</v>
      </c>
      <c r="C314" s="42">
        <v>5000.0</v>
      </c>
      <c r="D314" s="1"/>
      <c r="E314" s="26"/>
      <c r="F314" s="1"/>
      <c r="G314" s="43"/>
      <c r="H314" s="1"/>
      <c r="I314" s="1"/>
      <c r="J314" s="1" t="s">
        <v>53</v>
      </c>
      <c r="K314" s="12" t="s">
        <v>21</v>
      </c>
      <c r="L314" s="1" t="str">
        <f t="shared" si="1"/>
        <v>#REF!</v>
      </c>
      <c r="M314" s="1" t="str">
        <f t="shared" si="2"/>
        <v>#REF!</v>
      </c>
      <c r="N314" s="1" t="str">
        <f t="shared" si="3"/>
        <v>#REF!</v>
      </c>
    </row>
    <row r="315" ht="15.75" hidden="1" customHeight="1">
      <c r="A315" s="17" t="s">
        <v>2108</v>
      </c>
      <c r="B315" s="23" t="s">
        <v>1591</v>
      </c>
      <c r="C315" s="42">
        <v>5000.0</v>
      </c>
      <c r="D315" s="1"/>
      <c r="E315" s="26"/>
      <c r="F315" s="1"/>
      <c r="G315" s="43"/>
      <c r="H315" s="1"/>
      <c r="I315" s="1"/>
      <c r="J315" s="1"/>
      <c r="K315" s="12" t="s">
        <v>21</v>
      </c>
      <c r="L315" s="1" t="str">
        <f t="shared" si="1"/>
        <v>#REF!</v>
      </c>
      <c r="M315" s="1" t="str">
        <f t="shared" si="2"/>
        <v>#REF!</v>
      </c>
      <c r="N315" s="1" t="str">
        <f t="shared" si="3"/>
        <v>#REF!</v>
      </c>
    </row>
    <row r="316" ht="15.75" hidden="1" customHeight="1">
      <c r="A316" s="17" t="s">
        <v>2109</v>
      </c>
      <c r="B316" s="23" t="s">
        <v>740</v>
      </c>
      <c r="C316" s="42">
        <v>5000.0</v>
      </c>
      <c r="D316" s="1"/>
      <c r="E316" s="26"/>
      <c r="F316" s="1"/>
      <c r="G316" s="43"/>
      <c r="H316" s="1"/>
      <c r="I316" s="1"/>
      <c r="J316" s="1" t="s">
        <v>53</v>
      </c>
      <c r="K316" s="12" t="s">
        <v>21</v>
      </c>
      <c r="L316" s="1" t="str">
        <f t="shared" si="1"/>
        <v>#REF!</v>
      </c>
      <c r="M316" s="1" t="str">
        <f t="shared" si="2"/>
        <v>#REF!</v>
      </c>
      <c r="N316" s="1" t="str">
        <f t="shared" si="3"/>
        <v>#REF!</v>
      </c>
    </row>
    <row r="317" ht="15.75" hidden="1" customHeight="1">
      <c r="A317" s="17" t="s">
        <v>2110</v>
      </c>
      <c r="B317" s="23" t="s">
        <v>1276</v>
      </c>
      <c r="C317" s="42">
        <v>5000.0</v>
      </c>
      <c r="D317" s="1"/>
      <c r="E317" s="26"/>
      <c r="F317" s="1"/>
      <c r="G317" s="43"/>
      <c r="H317" s="1"/>
      <c r="I317" s="1"/>
      <c r="J317" s="1" t="s">
        <v>53</v>
      </c>
      <c r="K317" s="12" t="s">
        <v>21</v>
      </c>
      <c r="L317" s="1" t="str">
        <f t="shared" si="1"/>
        <v>#REF!</v>
      </c>
      <c r="M317" s="1" t="str">
        <f t="shared" si="2"/>
        <v>#REF!</v>
      </c>
      <c r="N317" s="1" t="str">
        <f t="shared" si="3"/>
        <v>#REF!</v>
      </c>
    </row>
    <row r="318" ht="15.75" hidden="1" customHeight="1">
      <c r="A318" s="17" t="s">
        <v>2111</v>
      </c>
      <c r="B318" s="23" t="s">
        <v>1093</v>
      </c>
      <c r="C318" s="42">
        <v>5000.0</v>
      </c>
      <c r="D318" s="1"/>
      <c r="E318" s="26"/>
      <c r="F318" s="1"/>
      <c r="G318" s="43"/>
      <c r="H318" s="1"/>
      <c r="I318" s="1"/>
      <c r="J318" s="1"/>
      <c r="K318" s="12" t="s">
        <v>21</v>
      </c>
      <c r="L318" s="1" t="str">
        <f t="shared" si="1"/>
        <v>#REF!</v>
      </c>
      <c r="M318" s="1" t="str">
        <f t="shared" si="2"/>
        <v>#REF!</v>
      </c>
      <c r="N318" s="1" t="str">
        <f t="shared" si="3"/>
        <v>#REF!</v>
      </c>
    </row>
    <row r="319" ht="15.75" hidden="1" customHeight="1">
      <c r="A319" s="17" t="s">
        <v>2112</v>
      </c>
      <c r="B319" s="23" t="s">
        <v>902</v>
      </c>
      <c r="C319" s="42">
        <v>5000.0</v>
      </c>
      <c r="D319" s="1"/>
      <c r="E319" s="26"/>
      <c r="F319" s="1"/>
      <c r="G319" s="43"/>
      <c r="H319" s="1"/>
      <c r="I319" s="1"/>
      <c r="J319" s="1"/>
      <c r="K319" s="12" t="s">
        <v>21</v>
      </c>
      <c r="L319" s="1" t="str">
        <f t="shared" si="1"/>
        <v>#REF!</v>
      </c>
      <c r="M319" s="1" t="str">
        <f t="shared" si="2"/>
        <v>#REF!</v>
      </c>
      <c r="N319" s="1" t="str">
        <f t="shared" si="3"/>
        <v>#REF!</v>
      </c>
    </row>
    <row r="320" ht="15.75" hidden="1" customHeight="1">
      <c r="A320" s="17" t="s">
        <v>2113</v>
      </c>
      <c r="B320" s="23" t="s">
        <v>1168</v>
      </c>
      <c r="C320" s="42">
        <v>5000.0</v>
      </c>
      <c r="D320" s="1"/>
      <c r="E320" s="26"/>
      <c r="F320" s="1"/>
      <c r="G320" s="43"/>
      <c r="H320" s="1"/>
      <c r="I320" s="1"/>
      <c r="J320" s="1"/>
      <c r="K320" s="12" t="s">
        <v>21</v>
      </c>
      <c r="L320" s="1" t="str">
        <f t="shared" si="1"/>
        <v>#REF!</v>
      </c>
      <c r="M320" s="1" t="str">
        <f t="shared" si="2"/>
        <v>#REF!</v>
      </c>
      <c r="N320" s="1" t="str">
        <f t="shared" si="3"/>
        <v>#REF!</v>
      </c>
    </row>
    <row r="321" ht="15.75" hidden="1" customHeight="1">
      <c r="A321" s="17" t="s">
        <v>2114</v>
      </c>
      <c r="B321" s="23" t="s">
        <v>1420</v>
      </c>
      <c r="C321" s="42">
        <v>5000.0</v>
      </c>
      <c r="D321" s="1"/>
      <c r="E321" s="26"/>
      <c r="F321" s="1"/>
      <c r="G321" s="43"/>
      <c r="H321" s="1"/>
      <c r="I321" s="1"/>
      <c r="J321" s="1" t="s">
        <v>53</v>
      </c>
      <c r="K321" s="12" t="s">
        <v>21</v>
      </c>
      <c r="L321" s="1" t="str">
        <f t="shared" si="1"/>
        <v>#REF!</v>
      </c>
      <c r="M321" s="1" t="str">
        <f t="shared" si="2"/>
        <v>#REF!</v>
      </c>
      <c r="N321" s="1" t="str">
        <f t="shared" si="3"/>
        <v>#REF!</v>
      </c>
    </row>
    <row r="322" ht="15.75" hidden="1" customHeight="1">
      <c r="A322" s="17" t="s">
        <v>2115</v>
      </c>
      <c r="B322" s="23" t="s">
        <v>362</v>
      </c>
      <c r="C322" s="42">
        <v>5000.0</v>
      </c>
      <c r="D322" s="1"/>
      <c r="E322" s="26"/>
      <c r="F322" s="1"/>
      <c r="G322" s="26"/>
      <c r="H322" s="1"/>
      <c r="I322" s="1"/>
      <c r="J322" s="1"/>
      <c r="K322" s="12" t="s">
        <v>21</v>
      </c>
      <c r="L322" s="1" t="str">
        <f t="shared" si="1"/>
        <v>#REF!</v>
      </c>
      <c r="M322" s="1" t="str">
        <f t="shared" si="2"/>
        <v>#REF!</v>
      </c>
      <c r="N322" s="1" t="str">
        <f t="shared" si="3"/>
        <v>#REF!</v>
      </c>
    </row>
    <row r="323" ht="15.75" hidden="1" customHeight="1">
      <c r="A323" s="17" t="s">
        <v>2116</v>
      </c>
      <c r="B323" s="23" t="s">
        <v>412</v>
      </c>
      <c r="C323" s="42">
        <v>5000.0</v>
      </c>
      <c r="D323" s="1"/>
      <c r="E323" s="26"/>
      <c r="F323" s="1"/>
      <c r="G323" s="26"/>
      <c r="H323" s="1"/>
      <c r="I323" s="1"/>
      <c r="J323" s="1"/>
      <c r="K323" s="12" t="s">
        <v>21</v>
      </c>
      <c r="L323" s="1" t="str">
        <f t="shared" si="1"/>
        <v>#REF!</v>
      </c>
      <c r="M323" s="1" t="str">
        <f t="shared" si="2"/>
        <v>#REF!</v>
      </c>
      <c r="N323" s="1" t="str">
        <f t="shared" si="3"/>
        <v>#REF!</v>
      </c>
    </row>
    <row r="324" ht="15.75" hidden="1" customHeight="1">
      <c r="A324" s="17" t="s">
        <v>2117</v>
      </c>
      <c r="B324" s="23" t="s">
        <v>1184</v>
      </c>
      <c r="C324" s="42">
        <v>5000.0</v>
      </c>
      <c r="D324" s="1"/>
      <c r="E324" s="26"/>
      <c r="F324" s="1"/>
      <c r="G324" s="26"/>
      <c r="H324" s="1"/>
      <c r="I324" s="1"/>
      <c r="J324" s="1"/>
      <c r="K324" s="12" t="s">
        <v>21</v>
      </c>
      <c r="L324" s="1" t="str">
        <f t="shared" si="1"/>
        <v>#REF!</v>
      </c>
      <c r="M324" s="1" t="str">
        <f t="shared" si="2"/>
        <v>#REF!</v>
      </c>
      <c r="N324" s="1" t="str">
        <f t="shared" si="3"/>
        <v>#REF!</v>
      </c>
    </row>
    <row r="325" ht="15.75" hidden="1" customHeight="1">
      <c r="A325" s="17" t="s">
        <v>2118</v>
      </c>
      <c r="B325" s="23" t="s">
        <v>83</v>
      </c>
      <c r="C325" s="42">
        <v>5000.0</v>
      </c>
      <c r="D325" s="1"/>
      <c r="E325" s="26"/>
      <c r="F325" s="1"/>
      <c r="G325" s="26"/>
      <c r="H325" s="1"/>
      <c r="I325" s="1"/>
      <c r="J325" s="1"/>
      <c r="K325" s="12" t="s">
        <v>21</v>
      </c>
      <c r="L325" s="1" t="str">
        <f t="shared" si="1"/>
        <v>#REF!</v>
      </c>
      <c r="M325" s="1" t="str">
        <f t="shared" si="2"/>
        <v>#REF!</v>
      </c>
      <c r="N325" s="1" t="str">
        <f t="shared" si="3"/>
        <v>#REF!</v>
      </c>
    </row>
    <row r="326" ht="15.75" hidden="1" customHeight="1">
      <c r="A326" s="17" t="s">
        <v>2119</v>
      </c>
      <c r="B326" s="23" t="s">
        <v>1753</v>
      </c>
      <c r="C326" s="42">
        <v>5000.0</v>
      </c>
      <c r="D326" s="1"/>
      <c r="E326" s="26"/>
      <c r="F326" s="1"/>
      <c r="G326" s="26"/>
      <c r="H326" s="1"/>
      <c r="I326" s="1"/>
      <c r="J326" s="1"/>
      <c r="K326" s="12" t="s">
        <v>21</v>
      </c>
      <c r="L326" s="1" t="str">
        <f t="shared" si="1"/>
        <v>#REF!</v>
      </c>
      <c r="M326" s="1" t="str">
        <f t="shared" si="2"/>
        <v>#REF!</v>
      </c>
      <c r="N326" s="1" t="str">
        <f t="shared" si="3"/>
        <v>#REF!</v>
      </c>
    </row>
    <row r="327" ht="15.75" hidden="1" customHeight="1">
      <c r="A327" s="17" t="s">
        <v>2120</v>
      </c>
      <c r="B327" s="23" t="s">
        <v>1370</v>
      </c>
      <c r="C327" s="42">
        <v>5000.0</v>
      </c>
      <c r="D327" s="1"/>
      <c r="E327" s="26"/>
      <c r="F327" s="1"/>
      <c r="G327" s="26"/>
      <c r="H327" s="1"/>
      <c r="I327" s="1"/>
      <c r="J327" s="1"/>
      <c r="K327" s="12" t="s">
        <v>21</v>
      </c>
      <c r="L327" s="1" t="str">
        <f t="shared" si="1"/>
        <v>#REF!</v>
      </c>
      <c r="M327" s="1" t="str">
        <f t="shared" si="2"/>
        <v>#REF!</v>
      </c>
      <c r="N327" s="1" t="str">
        <f t="shared" si="3"/>
        <v>#REF!</v>
      </c>
    </row>
    <row r="328" ht="15.75" hidden="1" customHeight="1">
      <c r="A328" s="17" t="s">
        <v>2121</v>
      </c>
      <c r="B328" s="23" t="s">
        <v>175</v>
      </c>
      <c r="C328" s="42">
        <v>5000.0</v>
      </c>
      <c r="D328" s="1"/>
      <c r="E328" s="26"/>
      <c r="F328" s="1"/>
      <c r="G328" s="26"/>
      <c r="H328" s="1"/>
      <c r="I328" s="1"/>
      <c r="J328" s="1"/>
      <c r="K328" s="12" t="s">
        <v>21</v>
      </c>
      <c r="L328" s="1" t="str">
        <f t="shared" si="1"/>
        <v>#REF!</v>
      </c>
      <c r="M328" s="1" t="str">
        <f t="shared" si="2"/>
        <v>#REF!</v>
      </c>
      <c r="N328" s="1" t="str">
        <f t="shared" si="3"/>
        <v>#REF!</v>
      </c>
    </row>
    <row r="329" ht="15.75" hidden="1" customHeight="1">
      <c r="A329" s="17" t="s">
        <v>2122</v>
      </c>
      <c r="B329" s="23" t="s">
        <v>117</v>
      </c>
      <c r="C329" s="42">
        <v>5000.0</v>
      </c>
      <c r="D329" s="1"/>
      <c r="E329" s="26"/>
      <c r="F329" s="1"/>
      <c r="G329" s="26"/>
      <c r="H329" s="1"/>
      <c r="I329" s="1"/>
      <c r="J329" s="1" t="s">
        <v>53</v>
      </c>
      <c r="K329" s="12" t="s">
        <v>21</v>
      </c>
      <c r="L329" s="1" t="str">
        <f t="shared" si="1"/>
        <v>#REF!</v>
      </c>
      <c r="M329" s="1" t="str">
        <f t="shared" si="2"/>
        <v>#REF!</v>
      </c>
      <c r="N329" s="1" t="str">
        <f t="shared" si="3"/>
        <v>#REF!</v>
      </c>
    </row>
    <row r="330" ht="15.75" hidden="1" customHeight="1">
      <c r="A330" s="17" t="s">
        <v>2123</v>
      </c>
      <c r="B330" s="23" t="s">
        <v>340</v>
      </c>
      <c r="C330" s="42">
        <v>5000.0</v>
      </c>
      <c r="D330" s="1"/>
      <c r="E330" s="26"/>
      <c r="F330" s="1"/>
      <c r="G330" s="26"/>
      <c r="H330" s="1"/>
      <c r="I330" s="1"/>
      <c r="J330" s="1"/>
      <c r="K330" s="12" t="s">
        <v>21</v>
      </c>
      <c r="L330" s="1" t="str">
        <f t="shared" si="1"/>
        <v>#REF!</v>
      </c>
      <c r="M330" s="1" t="str">
        <f t="shared" si="2"/>
        <v>#REF!</v>
      </c>
      <c r="N330" s="1" t="str">
        <f t="shared" si="3"/>
        <v>#REF!</v>
      </c>
    </row>
    <row r="331" ht="15.75" hidden="1" customHeight="1">
      <c r="A331" s="17" t="s">
        <v>2124</v>
      </c>
      <c r="B331" s="23" t="s">
        <v>1054</v>
      </c>
      <c r="C331" s="42">
        <v>5000.0</v>
      </c>
      <c r="D331" s="1"/>
      <c r="E331" s="26"/>
      <c r="F331" s="1"/>
      <c r="G331" s="26"/>
      <c r="H331" s="1"/>
      <c r="I331" s="1"/>
      <c r="J331" s="1" t="s">
        <v>53</v>
      </c>
      <c r="K331" s="12" t="s">
        <v>21</v>
      </c>
      <c r="L331" s="1" t="str">
        <f t="shared" si="1"/>
        <v>#REF!</v>
      </c>
      <c r="M331" s="1" t="str">
        <f t="shared" si="2"/>
        <v>#REF!</v>
      </c>
      <c r="N331" s="1" t="str">
        <f t="shared" si="3"/>
        <v>#REF!</v>
      </c>
    </row>
    <row r="332" ht="15.75" hidden="1" customHeight="1">
      <c r="A332" s="17" t="s">
        <v>2125</v>
      </c>
      <c r="B332" s="23" t="s">
        <v>932</v>
      </c>
      <c r="C332" s="42">
        <v>5000.0</v>
      </c>
      <c r="D332" s="1"/>
      <c r="E332" s="26"/>
      <c r="F332" s="1"/>
      <c r="G332" s="26"/>
      <c r="H332" s="1"/>
      <c r="I332" s="1"/>
      <c r="J332" s="1"/>
      <c r="K332" s="12" t="s">
        <v>21</v>
      </c>
      <c r="L332" s="1" t="str">
        <f t="shared" si="1"/>
        <v>#REF!</v>
      </c>
      <c r="M332" s="1" t="str">
        <f t="shared" si="2"/>
        <v>#REF!</v>
      </c>
      <c r="N332" s="1" t="str">
        <f t="shared" si="3"/>
        <v>#REF!</v>
      </c>
    </row>
    <row r="333" ht="15.75" hidden="1" customHeight="1">
      <c r="A333" s="17" t="s">
        <v>2126</v>
      </c>
      <c r="B333" s="23" t="s">
        <v>786</v>
      </c>
      <c r="C333" s="42">
        <v>5000.0</v>
      </c>
      <c r="D333" s="1"/>
      <c r="E333" s="26"/>
      <c r="F333" s="1"/>
      <c r="G333" s="26"/>
      <c r="H333" s="1"/>
      <c r="I333" s="1"/>
      <c r="J333" s="1"/>
      <c r="K333" s="12" t="s">
        <v>21</v>
      </c>
      <c r="L333" s="1" t="str">
        <f t="shared" si="1"/>
        <v>#REF!</v>
      </c>
      <c r="M333" s="1" t="str">
        <f t="shared" si="2"/>
        <v>#REF!</v>
      </c>
      <c r="N333" s="1" t="str">
        <f t="shared" si="3"/>
        <v>#REF!</v>
      </c>
    </row>
    <row r="334" ht="15.75" hidden="1" customHeight="1">
      <c r="A334" s="17" t="s">
        <v>2127</v>
      </c>
      <c r="B334" s="23" t="s">
        <v>1173</v>
      </c>
      <c r="C334" s="42">
        <v>5000.0</v>
      </c>
      <c r="D334" s="1"/>
      <c r="E334" s="26"/>
      <c r="F334" s="1"/>
      <c r="G334" s="26"/>
      <c r="H334" s="1"/>
      <c r="I334" s="1"/>
      <c r="J334" s="1" t="s">
        <v>53</v>
      </c>
      <c r="K334" s="12" t="s">
        <v>21</v>
      </c>
      <c r="L334" s="1" t="str">
        <f t="shared" si="1"/>
        <v>#REF!</v>
      </c>
      <c r="M334" s="1" t="str">
        <f t="shared" si="2"/>
        <v>#REF!</v>
      </c>
      <c r="N334" s="1" t="str">
        <f t="shared" si="3"/>
        <v>#REF!</v>
      </c>
    </row>
    <row r="335" ht="15.75" hidden="1" customHeight="1">
      <c r="A335" s="17" t="s">
        <v>2128</v>
      </c>
      <c r="B335" s="23" t="s">
        <v>1175</v>
      </c>
      <c r="C335" s="42">
        <v>5000.0</v>
      </c>
      <c r="D335" s="1"/>
      <c r="E335" s="26"/>
      <c r="F335" s="1"/>
      <c r="G335" s="26"/>
      <c r="H335" s="1"/>
      <c r="I335" s="1"/>
      <c r="J335" s="1"/>
      <c r="K335" s="12" t="s">
        <v>21</v>
      </c>
      <c r="L335" s="1" t="str">
        <f t="shared" si="1"/>
        <v>#REF!</v>
      </c>
      <c r="M335" s="1" t="str">
        <f t="shared" si="2"/>
        <v>#REF!</v>
      </c>
      <c r="N335" s="1" t="str">
        <f t="shared" si="3"/>
        <v>#REF!</v>
      </c>
    </row>
    <row r="336" ht="15.75" hidden="1" customHeight="1">
      <c r="A336" s="17" t="s">
        <v>2129</v>
      </c>
      <c r="B336" s="23" t="s">
        <v>574</v>
      </c>
      <c r="C336" s="42">
        <v>5000.0</v>
      </c>
      <c r="D336" s="1"/>
      <c r="E336" s="26"/>
      <c r="F336" s="1"/>
      <c r="G336" s="26"/>
      <c r="H336" s="1"/>
      <c r="I336" s="1"/>
      <c r="J336" s="1" t="s">
        <v>53</v>
      </c>
      <c r="K336" s="12" t="s">
        <v>21</v>
      </c>
      <c r="L336" s="1" t="str">
        <f t="shared" si="1"/>
        <v>#REF!</v>
      </c>
      <c r="M336" s="1" t="str">
        <f t="shared" si="2"/>
        <v>#REF!</v>
      </c>
      <c r="N336" s="1" t="str">
        <f t="shared" si="3"/>
        <v>#REF!</v>
      </c>
    </row>
    <row r="337" ht="15.75" hidden="1" customHeight="1">
      <c r="A337" s="17" t="s">
        <v>2130</v>
      </c>
      <c r="B337" s="23" t="s">
        <v>1051</v>
      </c>
      <c r="C337" s="42">
        <v>5000.0</v>
      </c>
      <c r="D337" s="1"/>
      <c r="E337" s="26"/>
      <c r="F337" s="1"/>
      <c r="G337" s="26"/>
      <c r="H337" s="1"/>
      <c r="I337" s="1"/>
      <c r="J337" s="1"/>
      <c r="K337" s="12" t="s">
        <v>21</v>
      </c>
      <c r="L337" s="1" t="str">
        <f t="shared" si="1"/>
        <v>#REF!</v>
      </c>
      <c r="M337" s="1" t="str">
        <f t="shared" si="2"/>
        <v>#REF!</v>
      </c>
      <c r="N337" s="1" t="str">
        <f t="shared" si="3"/>
        <v>#REF!</v>
      </c>
    </row>
    <row r="338" ht="15.75" hidden="1" customHeight="1">
      <c r="A338" s="17" t="s">
        <v>2131</v>
      </c>
      <c r="B338" s="23" t="s">
        <v>230</v>
      </c>
      <c r="C338" s="42">
        <v>5000.0</v>
      </c>
      <c r="D338" s="1"/>
      <c r="E338" s="26"/>
      <c r="F338" s="1"/>
      <c r="G338" s="26"/>
      <c r="H338" s="1"/>
      <c r="I338" s="1"/>
      <c r="J338" s="1"/>
      <c r="K338" s="12" t="s">
        <v>21</v>
      </c>
      <c r="L338" s="1" t="str">
        <f t="shared" si="1"/>
        <v>#REF!</v>
      </c>
      <c r="M338" s="1" t="str">
        <f t="shared" si="2"/>
        <v>#REF!</v>
      </c>
      <c r="N338" s="1" t="str">
        <f t="shared" si="3"/>
        <v>#REF!</v>
      </c>
    </row>
    <row r="339" ht="15.75" hidden="1" customHeight="1">
      <c r="A339" s="17" t="s">
        <v>2132</v>
      </c>
      <c r="B339" s="23" t="s">
        <v>986</v>
      </c>
      <c r="C339" s="42">
        <v>5000.0</v>
      </c>
      <c r="D339" s="1"/>
      <c r="E339" s="26"/>
      <c r="F339" s="1"/>
      <c r="G339" s="26"/>
      <c r="H339" s="1"/>
      <c r="I339" s="1"/>
      <c r="J339" s="1"/>
      <c r="K339" s="12" t="s">
        <v>21</v>
      </c>
      <c r="L339" s="1" t="str">
        <f t="shared" si="1"/>
        <v>#REF!</v>
      </c>
      <c r="M339" s="1" t="str">
        <f t="shared" si="2"/>
        <v>#REF!</v>
      </c>
      <c r="N339" s="1" t="str">
        <f t="shared" si="3"/>
        <v>#REF!</v>
      </c>
    </row>
    <row r="340" ht="15.75" hidden="1" customHeight="1">
      <c r="A340" s="17" t="s">
        <v>2133</v>
      </c>
      <c r="B340" s="23" t="s">
        <v>365</v>
      </c>
      <c r="C340" s="42">
        <v>5000.0</v>
      </c>
      <c r="D340" s="1"/>
      <c r="E340" s="26"/>
      <c r="F340" s="1"/>
      <c r="G340" s="26"/>
      <c r="H340" s="1"/>
      <c r="I340" s="1"/>
      <c r="J340" s="1" t="s">
        <v>53</v>
      </c>
      <c r="K340" s="12" t="s">
        <v>21</v>
      </c>
      <c r="L340" s="1" t="str">
        <f t="shared" si="1"/>
        <v>#REF!</v>
      </c>
      <c r="M340" s="1" t="str">
        <f t="shared" si="2"/>
        <v>#REF!</v>
      </c>
      <c r="N340" s="1" t="str">
        <f t="shared" si="3"/>
        <v>#REF!</v>
      </c>
    </row>
    <row r="341" ht="15.75" hidden="1" customHeight="1">
      <c r="A341" s="17" t="s">
        <v>2134</v>
      </c>
      <c r="B341" s="23" t="s">
        <v>599</v>
      </c>
      <c r="C341" s="42">
        <v>5000.0</v>
      </c>
      <c r="D341" s="1"/>
      <c r="E341" s="26"/>
      <c r="F341" s="1"/>
      <c r="G341" s="26"/>
      <c r="H341" s="1"/>
      <c r="I341" s="1"/>
      <c r="J341" s="1"/>
      <c r="K341" s="12" t="s">
        <v>21</v>
      </c>
      <c r="L341" s="1" t="str">
        <f t="shared" si="1"/>
        <v>#REF!</v>
      </c>
      <c r="M341" s="1" t="str">
        <f t="shared" si="2"/>
        <v>#REF!</v>
      </c>
      <c r="N341" s="1" t="str">
        <f t="shared" si="3"/>
        <v>#REF!</v>
      </c>
    </row>
    <row r="342" ht="15.75" hidden="1" customHeight="1">
      <c r="A342" s="17" t="s">
        <v>2135</v>
      </c>
      <c r="B342" s="23" t="s">
        <v>146</v>
      </c>
      <c r="C342" s="42">
        <v>5000.0</v>
      </c>
      <c r="D342" s="1"/>
      <c r="E342" s="26"/>
      <c r="F342" s="1"/>
      <c r="G342" s="26"/>
      <c r="H342" s="1"/>
      <c r="I342" s="1"/>
      <c r="J342" s="1"/>
      <c r="K342" s="12" t="s">
        <v>21</v>
      </c>
      <c r="L342" s="1" t="str">
        <f t="shared" si="1"/>
        <v>#REF!</v>
      </c>
      <c r="M342" s="1" t="str">
        <f t="shared" si="2"/>
        <v>#REF!</v>
      </c>
      <c r="N342" s="1" t="str">
        <f t="shared" si="3"/>
        <v>#REF!</v>
      </c>
    </row>
    <row r="343" ht="15.75" hidden="1" customHeight="1">
      <c r="A343" s="17" t="s">
        <v>2136</v>
      </c>
      <c r="B343" s="23" t="s">
        <v>497</v>
      </c>
      <c r="C343" s="42">
        <v>5000.0</v>
      </c>
      <c r="D343" s="1"/>
      <c r="E343" s="26"/>
      <c r="F343" s="1"/>
      <c r="G343" s="26"/>
      <c r="H343" s="1"/>
      <c r="I343" s="1"/>
      <c r="J343" s="1"/>
      <c r="K343" s="12" t="s">
        <v>21</v>
      </c>
      <c r="L343" s="1" t="str">
        <f t="shared" si="1"/>
        <v>#REF!</v>
      </c>
      <c r="M343" s="1" t="str">
        <f t="shared" si="2"/>
        <v>#REF!</v>
      </c>
      <c r="N343" s="1" t="str">
        <f t="shared" si="3"/>
        <v>#REF!</v>
      </c>
    </row>
    <row r="344" ht="15.75" hidden="1" customHeight="1">
      <c r="A344" s="17" t="s">
        <v>2137</v>
      </c>
      <c r="B344" s="23" t="s">
        <v>1680</v>
      </c>
      <c r="C344" s="42">
        <v>5000.0</v>
      </c>
      <c r="D344" s="1"/>
      <c r="E344" s="26"/>
      <c r="F344" s="1"/>
      <c r="G344" s="26"/>
      <c r="H344" s="1"/>
      <c r="I344" s="1"/>
      <c r="J344" s="1"/>
      <c r="K344" s="12" t="s">
        <v>21</v>
      </c>
      <c r="L344" s="1" t="str">
        <f t="shared" si="1"/>
        <v>#REF!</v>
      </c>
      <c r="M344" s="1" t="str">
        <f t="shared" si="2"/>
        <v>#REF!</v>
      </c>
      <c r="N344" s="1" t="str">
        <f t="shared" si="3"/>
        <v>#REF!</v>
      </c>
    </row>
    <row r="345" ht="15.75" hidden="1" customHeight="1">
      <c r="A345" s="17" t="s">
        <v>2138</v>
      </c>
      <c r="B345" s="23" t="s">
        <v>1494</v>
      </c>
      <c r="C345" s="42">
        <v>5000.0</v>
      </c>
      <c r="D345" s="1"/>
      <c r="E345" s="26"/>
      <c r="F345" s="1"/>
      <c r="G345" s="26"/>
      <c r="H345" s="1"/>
      <c r="I345" s="1"/>
      <c r="J345" s="1"/>
      <c r="K345" s="12" t="s">
        <v>21</v>
      </c>
      <c r="L345" s="1" t="str">
        <f t="shared" si="1"/>
        <v>#REF!</v>
      </c>
      <c r="M345" s="1" t="str">
        <f t="shared" si="2"/>
        <v>#REF!</v>
      </c>
      <c r="N345" s="1" t="str">
        <f t="shared" si="3"/>
        <v>#REF!</v>
      </c>
    </row>
    <row r="346" ht="15.75" hidden="1" customHeight="1">
      <c r="A346" s="17" t="s">
        <v>2139</v>
      </c>
      <c r="B346" s="23" t="s">
        <v>290</v>
      </c>
      <c r="C346" s="42">
        <v>5000.0</v>
      </c>
      <c r="D346" s="1"/>
      <c r="E346" s="26"/>
      <c r="F346" s="1"/>
      <c r="G346" s="26"/>
      <c r="H346" s="1"/>
      <c r="I346" s="1"/>
      <c r="J346" s="1"/>
      <c r="K346" s="12" t="s">
        <v>21</v>
      </c>
      <c r="L346" s="1" t="str">
        <f t="shared" si="1"/>
        <v>#REF!</v>
      </c>
      <c r="M346" s="1" t="str">
        <f t="shared" si="2"/>
        <v>#REF!</v>
      </c>
      <c r="N346" s="1" t="str">
        <f t="shared" si="3"/>
        <v>#REF!</v>
      </c>
    </row>
    <row r="347" ht="15.75" hidden="1" customHeight="1">
      <c r="A347" s="17" t="s">
        <v>2140</v>
      </c>
      <c r="B347" s="23" t="s">
        <v>708</v>
      </c>
      <c r="C347" s="42">
        <v>5000.0</v>
      </c>
      <c r="D347" s="1"/>
      <c r="E347" s="26"/>
      <c r="F347" s="1"/>
      <c r="G347" s="26"/>
      <c r="H347" s="1"/>
      <c r="I347" s="1"/>
      <c r="J347" s="1"/>
      <c r="K347" s="12" t="s">
        <v>21</v>
      </c>
      <c r="L347" s="1" t="str">
        <f t="shared" si="1"/>
        <v>#REF!</v>
      </c>
      <c r="M347" s="1" t="str">
        <f t="shared" si="2"/>
        <v>#REF!</v>
      </c>
      <c r="N347" s="1" t="str">
        <f t="shared" si="3"/>
        <v>#REF!</v>
      </c>
    </row>
    <row r="348" ht="15.75" hidden="1" customHeight="1">
      <c r="A348" s="17" t="s">
        <v>2141</v>
      </c>
      <c r="B348" s="23" t="s">
        <v>555</v>
      </c>
      <c r="C348" s="42">
        <v>5000.0</v>
      </c>
      <c r="D348" s="1"/>
      <c r="E348" s="26"/>
      <c r="F348" s="1"/>
      <c r="G348" s="26"/>
      <c r="H348" s="1"/>
      <c r="I348" s="1"/>
      <c r="J348" s="1"/>
      <c r="K348" s="12" t="s">
        <v>21</v>
      </c>
      <c r="L348" s="1" t="str">
        <f t="shared" si="1"/>
        <v>#REF!</v>
      </c>
      <c r="M348" s="1" t="str">
        <f t="shared" si="2"/>
        <v>#REF!</v>
      </c>
      <c r="N348" s="1" t="str">
        <f t="shared" si="3"/>
        <v>#REF!</v>
      </c>
    </row>
    <row r="349" ht="15.75" hidden="1" customHeight="1">
      <c r="A349" s="17" t="s">
        <v>2142</v>
      </c>
      <c r="B349" s="23" t="s">
        <v>762</v>
      </c>
      <c r="C349" s="42">
        <v>5000.0</v>
      </c>
      <c r="D349" s="1"/>
      <c r="E349" s="26"/>
      <c r="F349" s="1"/>
      <c r="G349" s="26"/>
      <c r="H349" s="1"/>
      <c r="I349" s="1"/>
      <c r="J349" s="1"/>
      <c r="K349" s="12" t="s">
        <v>21</v>
      </c>
      <c r="L349" s="1" t="str">
        <f t="shared" si="1"/>
        <v>#REF!</v>
      </c>
      <c r="M349" s="1" t="str">
        <f t="shared" si="2"/>
        <v>#REF!</v>
      </c>
      <c r="N349" s="1" t="str">
        <f t="shared" si="3"/>
        <v>#REF!</v>
      </c>
    </row>
    <row r="350" ht="15.75" hidden="1" customHeight="1">
      <c r="A350" s="17" t="s">
        <v>2143</v>
      </c>
      <c r="B350" s="23" t="s">
        <v>940</v>
      </c>
      <c r="C350" s="42">
        <v>5000.0</v>
      </c>
      <c r="D350" s="1"/>
      <c r="E350" s="26"/>
      <c r="F350" s="1"/>
      <c r="G350" s="26"/>
      <c r="H350" s="1"/>
      <c r="I350" s="1"/>
      <c r="J350" s="1"/>
      <c r="K350" s="12" t="s">
        <v>21</v>
      </c>
      <c r="L350" s="1" t="str">
        <f t="shared" si="1"/>
        <v>#REF!</v>
      </c>
      <c r="M350" s="1" t="str">
        <f t="shared" si="2"/>
        <v>#REF!</v>
      </c>
      <c r="N350" s="1" t="str">
        <f t="shared" si="3"/>
        <v>#REF!</v>
      </c>
    </row>
    <row r="351" ht="15.75" hidden="1" customHeight="1">
      <c r="A351" s="17" t="s">
        <v>2144</v>
      </c>
      <c r="B351" s="23" t="s">
        <v>1040</v>
      </c>
      <c r="C351" s="42">
        <v>5000.0</v>
      </c>
      <c r="D351" s="1"/>
      <c r="E351" s="26"/>
      <c r="F351" s="1"/>
      <c r="G351" s="26"/>
      <c r="H351" s="1"/>
      <c r="I351" s="1"/>
      <c r="J351" s="1" t="s">
        <v>53</v>
      </c>
      <c r="K351" s="12" t="s">
        <v>21</v>
      </c>
      <c r="L351" s="1" t="str">
        <f t="shared" si="1"/>
        <v>#REF!</v>
      </c>
      <c r="M351" s="1" t="str">
        <f t="shared" si="2"/>
        <v>#REF!</v>
      </c>
      <c r="N351" s="1" t="str">
        <f t="shared" si="3"/>
        <v>#REF!</v>
      </c>
    </row>
    <row r="352" ht="15.75" hidden="1" customHeight="1">
      <c r="A352" s="17" t="s">
        <v>2145</v>
      </c>
      <c r="B352" s="23" t="s">
        <v>432</v>
      </c>
      <c r="C352" s="42">
        <v>5000.0</v>
      </c>
      <c r="D352" s="1"/>
      <c r="E352" s="26"/>
      <c r="F352" s="1"/>
      <c r="G352" s="26"/>
      <c r="H352" s="1"/>
      <c r="I352" s="1"/>
      <c r="J352" s="1" t="s">
        <v>53</v>
      </c>
      <c r="K352" s="12" t="s">
        <v>21</v>
      </c>
      <c r="L352" s="1" t="str">
        <f t="shared" si="1"/>
        <v>#REF!</v>
      </c>
      <c r="M352" s="1" t="str">
        <f t="shared" si="2"/>
        <v>#REF!</v>
      </c>
      <c r="N352" s="1" t="str">
        <f t="shared" si="3"/>
        <v>#REF!</v>
      </c>
    </row>
    <row r="353" ht="15.75" hidden="1" customHeight="1">
      <c r="A353" s="17" t="s">
        <v>2146</v>
      </c>
      <c r="B353" s="23" t="s">
        <v>596</v>
      </c>
      <c r="C353" s="42">
        <v>5000.0</v>
      </c>
      <c r="D353" s="1"/>
      <c r="E353" s="26"/>
      <c r="F353" s="1"/>
      <c r="G353" s="26"/>
      <c r="H353" s="1"/>
      <c r="I353" s="1"/>
      <c r="J353" s="1"/>
      <c r="K353" s="12" t="s">
        <v>21</v>
      </c>
      <c r="L353" s="1" t="str">
        <f t="shared" si="1"/>
        <v>#REF!</v>
      </c>
      <c r="M353" s="1" t="str">
        <f t="shared" si="2"/>
        <v>#REF!</v>
      </c>
      <c r="N353" s="1" t="str">
        <f t="shared" si="3"/>
        <v>#REF!</v>
      </c>
    </row>
    <row r="354" ht="15.75" hidden="1" customHeight="1">
      <c r="A354" s="17" t="s">
        <v>2147</v>
      </c>
      <c r="B354" s="23" t="s">
        <v>1665</v>
      </c>
      <c r="C354" s="42">
        <v>0.0</v>
      </c>
      <c r="D354" s="17">
        <v>0.0</v>
      </c>
      <c r="E354" s="23"/>
      <c r="F354" s="42"/>
      <c r="G354" s="17"/>
      <c r="H354" s="23"/>
      <c r="I354" s="42"/>
      <c r="J354" s="1"/>
      <c r="K354" s="16" t="s">
        <v>27</v>
      </c>
      <c r="L354" s="1" t="str">
        <f t="shared" si="1"/>
        <v>#REF!</v>
      </c>
      <c r="M354" s="1" t="str">
        <f t="shared" si="2"/>
        <v>#REF!</v>
      </c>
      <c r="N354" s="1" t="str">
        <f t="shared" si="3"/>
        <v>#REF!</v>
      </c>
    </row>
    <row r="355" ht="15.75" hidden="1" customHeight="1">
      <c r="A355" s="17" t="s">
        <v>2148</v>
      </c>
      <c r="B355" s="23" t="s">
        <v>1005</v>
      </c>
      <c r="C355" s="42">
        <v>0.0</v>
      </c>
      <c r="D355" s="17">
        <v>0.0</v>
      </c>
      <c r="E355" s="23"/>
      <c r="F355" s="42"/>
      <c r="G355" s="17"/>
      <c r="H355" s="23"/>
      <c r="I355" s="42">
        <v>60000.0</v>
      </c>
      <c r="J355" s="1"/>
      <c r="K355" s="16" t="s">
        <v>27</v>
      </c>
      <c r="L355" s="1" t="str">
        <f t="shared" si="1"/>
        <v>#REF!</v>
      </c>
      <c r="M355" s="1" t="str">
        <f t="shared" si="2"/>
        <v>#REF!</v>
      </c>
      <c r="N355" s="1" t="str">
        <f t="shared" si="3"/>
        <v>#REF!</v>
      </c>
    </row>
    <row r="356" ht="15.75" hidden="1" customHeight="1">
      <c r="A356" s="17" t="s">
        <v>2149</v>
      </c>
      <c r="B356" s="23" t="s">
        <v>1880</v>
      </c>
      <c r="C356" s="42">
        <v>0.0</v>
      </c>
      <c r="D356" s="17">
        <v>0.0</v>
      </c>
      <c r="E356" s="23"/>
      <c r="F356" s="42"/>
      <c r="G356" s="17"/>
      <c r="H356" s="23"/>
      <c r="I356" s="42"/>
      <c r="J356" s="1"/>
      <c r="K356" s="16" t="s">
        <v>27</v>
      </c>
      <c r="L356" s="1" t="str">
        <f t="shared" si="1"/>
        <v>#REF!</v>
      </c>
      <c r="M356" s="1" t="str">
        <f t="shared" si="2"/>
        <v>#REF!</v>
      </c>
      <c r="N356" s="1" t="str">
        <f t="shared" si="3"/>
        <v>#REF!</v>
      </c>
    </row>
    <row r="357" ht="15.75" hidden="1" customHeight="1">
      <c r="A357" s="17" t="s">
        <v>2150</v>
      </c>
      <c r="B357" s="23" t="s">
        <v>1114</v>
      </c>
      <c r="C357" s="42">
        <v>0.0</v>
      </c>
      <c r="D357" s="17">
        <v>0.0</v>
      </c>
      <c r="E357" s="23"/>
      <c r="F357" s="42"/>
      <c r="G357" s="17"/>
      <c r="H357" s="23"/>
      <c r="I357" s="42"/>
      <c r="J357" s="1"/>
      <c r="K357" s="16" t="s">
        <v>27</v>
      </c>
      <c r="L357" s="1" t="str">
        <f t="shared" si="1"/>
        <v>#REF!</v>
      </c>
      <c r="M357" s="1" t="str">
        <f t="shared" si="2"/>
        <v>#REF!</v>
      </c>
      <c r="N357" s="1" t="str">
        <f t="shared" si="3"/>
        <v>#REF!</v>
      </c>
    </row>
    <row r="358" ht="15.75" hidden="1" customHeight="1">
      <c r="A358" s="17" t="s">
        <v>2151</v>
      </c>
      <c r="B358" s="23" t="s">
        <v>1336</v>
      </c>
      <c r="C358" s="26">
        <v>3500.0</v>
      </c>
      <c r="D358" s="1"/>
      <c r="E358" s="26"/>
      <c r="F358" s="1"/>
      <c r="G358" s="1"/>
      <c r="H358" s="1"/>
      <c r="I358" s="1"/>
      <c r="J358" s="1"/>
      <c r="K358" s="18" t="s">
        <v>33</v>
      </c>
      <c r="L358" s="1" t="str">
        <f t="shared" si="1"/>
        <v>#REF!</v>
      </c>
      <c r="M358" s="1" t="str">
        <f t="shared" si="2"/>
        <v>#REF!</v>
      </c>
      <c r="N358" s="1" t="str">
        <f t="shared" si="3"/>
        <v>#REF!</v>
      </c>
    </row>
    <row r="359" ht="15.75" hidden="1" customHeight="1">
      <c r="A359" s="17" t="s">
        <v>1060</v>
      </c>
      <c r="B359" s="23" t="s">
        <v>1059</v>
      </c>
      <c r="C359" s="26">
        <v>3500.0</v>
      </c>
      <c r="D359" s="1"/>
      <c r="E359" s="26"/>
      <c r="F359" s="1"/>
      <c r="G359" s="1"/>
      <c r="H359" s="1"/>
      <c r="I359" s="1"/>
      <c r="J359" s="1"/>
      <c r="K359" s="18" t="s">
        <v>33</v>
      </c>
      <c r="L359" s="1" t="str">
        <f t="shared" si="1"/>
        <v>#REF!</v>
      </c>
      <c r="M359" s="1" t="str">
        <f t="shared" si="2"/>
        <v>#REF!</v>
      </c>
      <c r="N359" s="1" t="str">
        <f t="shared" si="3"/>
        <v>#REF!</v>
      </c>
    </row>
    <row r="360" ht="15.75" hidden="1" customHeight="1">
      <c r="A360" s="17" t="s">
        <v>1288</v>
      </c>
      <c r="B360" s="23" t="s">
        <v>1287</v>
      </c>
      <c r="C360" s="26">
        <v>3500.0</v>
      </c>
      <c r="D360" s="1"/>
      <c r="E360" s="26"/>
      <c r="F360" s="1"/>
      <c r="G360" s="1"/>
      <c r="H360" s="1"/>
      <c r="I360" s="1"/>
      <c r="J360" s="1"/>
      <c r="K360" s="18" t="s">
        <v>33</v>
      </c>
      <c r="L360" s="1" t="str">
        <f t="shared" si="1"/>
        <v>#REF!</v>
      </c>
      <c r="M360" s="1" t="str">
        <f t="shared" si="2"/>
        <v>#REF!</v>
      </c>
      <c r="N360" s="1" t="str">
        <f t="shared" si="3"/>
        <v>#REF!</v>
      </c>
    </row>
    <row r="361" ht="15.75" hidden="1" customHeight="1">
      <c r="A361" s="17" t="s">
        <v>1378</v>
      </c>
      <c r="B361" s="23" t="s">
        <v>1377</v>
      </c>
      <c r="C361" s="26">
        <v>3500.0</v>
      </c>
      <c r="D361" s="1"/>
      <c r="E361" s="26"/>
      <c r="F361" s="1"/>
      <c r="G361" s="1"/>
      <c r="H361" s="1"/>
      <c r="I361" s="1"/>
      <c r="J361" s="1"/>
      <c r="K361" s="18" t="s">
        <v>33</v>
      </c>
      <c r="L361" s="1" t="str">
        <f t="shared" si="1"/>
        <v>#REF!</v>
      </c>
      <c r="M361" s="1" t="str">
        <f t="shared" si="2"/>
        <v>#REF!</v>
      </c>
      <c r="N361" s="1" t="str">
        <f t="shared" si="3"/>
        <v>#REF!</v>
      </c>
    </row>
    <row r="362" ht="15.75" hidden="1" customHeight="1">
      <c r="A362" s="17" t="s">
        <v>346</v>
      </c>
      <c r="B362" s="23" t="s">
        <v>345</v>
      </c>
      <c r="C362" s="26">
        <v>3500.0</v>
      </c>
      <c r="D362" s="1"/>
      <c r="E362" s="26"/>
      <c r="F362" s="1"/>
      <c r="G362" s="1"/>
      <c r="H362" s="1"/>
      <c r="I362" s="1"/>
      <c r="J362" s="1"/>
      <c r="K362" s="18" t="s">
        <v>33</v>
      </c>
      <c r="L362" s="1" t="str">
        <f t="shared" si="1"/>
        <v>#REF!</v>
      </c>
      <c r="M362" s="1" t="str">
        <f t="shared" si="2"/>
        <v>#REF!</v>
      </c>
      <c r="N362" s="1" t="str">
        <f t="shared" si="3"/>
        <v>#REF!</v>
      </c>
    </row>
    <row r="363" ht="15.75" hidden="1" customHeight="1">
      <c r="A363" s="17" t="s">
        <v>2152</v>
      </c>
      <c r="B363" s="23" t="s">
        <v>1427</v>
      </c>
      <c r="C363" s="26">
        <v>3500.0</v>
      </c>
      <c r="D363" s="1"/>
      <c r="E363" s="26"/>
      <c r="F363" s="1"/>
      <c r="G363" s="1"/>
      <c r="H363" s="1"/>
      <c r="I363" s="1"/>
      <c r="J363" s="1"/>
      <c r="K363" s="18" t="s">
        <v>33</v>
      </c>
      <c r="L363" s="1" t="str">
        <f t="shared" si="1"/>
        <v>#REF!</v>
      </c>
      <c r="M363" s="1" t="str">
        <f t="shared" si="2"/>
        <v>#REF!</v>
      </c>
      <c r="N363" s="1" t="str">
        <f t="shared" si="3"/>
        <v>#REF!</v>
      </c>
    </row>
    <row r="364" ht="15.75" customHeight="1">
      <c r="A364" s="47"/>
      <c r="B364" s="35"/>
      <c r="E364" s="48"/>
      <c r="K364" s="49"/>
    </row>
    <row r="365" ht="15.75" customHeight="1">
      <c r="A365" s="47"/>
      <c r="B365" s="35"/>
      <c r="E365" s="48"/>
      <c r="K365" s="49"/>
    </row>
    <row r="366" ht="15.75" customHeight="1">
      <c r="A366" s="47"/>
      <c r="B366" s="35"/>
      <c r="E366" s="48"/>
      <c r="K366" s="49"/>
    </row>
    <row r="367" ht="15.75" customHeight="1">
      <c r="A367" s="47"/>
      <c r="B367" s="35"/>
      <c r="E367" s="48"/>
      <c r="K367" s="49"/>
    </row>
    <row r="368" ht="15.75" customHeight="1">
      <c r="A368" s="47"/>
      <c r="B368" s="35"/>
      <c r="E368" s="48"/>
      <c r="K368" s="49"/>
    </row>
    <row r="369" ht="15.75" customHeight="1">
      <c r="A369" s="47"/>
      <c r="B369" s="35"/>
      <c r="E369" s="48"/>
      <c r="K369" s="49"/>
    </row>
    <row r="370" ht="15.75" customHeight="1">
      <c r="A370" s="47"/>
      <c r="B370" s="35"/>
      <c r="E370" s="48"/>
      <c r="K370" s="49"/>
    </row>
    <row r="371" ht="15.75" customHeight="1">
      <c r="A371" s="47"/>
      <c r="B371" s="35"/>
      <c r="E371" s="48"/>
      <c r="K371" s="49"/>
    </row>
    <row r="372" ht="15.75" customHeight="1">
      <c r="A372" s="47"/>
      <c r="B372" s="35"/>
      <c r="E372" s="48"/>
      <c r="K372" s="49"/>
    </row>
    <row r="373" ht="15.75" customHeight="1">
      <c r="A373" s="47"/>
      <c r="B373" s="35"/>
      <c r="E373" s="48"/>
      <c r="K373" s="49"/>
    </row>
    <row r="374" ht="15.75" customHeight="1">
      <c r="A374" s="47"/>
      <c r="B374" s="35"/>
      <c r="E374" s="48"/>
      <c r="K374" s="49"/>
    </row>
    <row r="375" ht="15.75" customHeight="1">
      <c r="A375" s="47"/>
      <c r="B375" s="35"/>
      <c r="E375" s="48"/>
      <c r="K375" s="49"/>
    </row>
    <row r="376" ht="15.75" customHeight="1">
      <c r="A376" s="47"/>
      <c r="B376" s="35"/>
      <c r="E376" s="48"/>
      <c r="K376" s="49"/>
    </row>
    <row r="377" ht="15.75" customHeight="1">
      <c r="A377" s="47"/>
      <c r="B377" s="35"/>
      <c r="E377" s="48"/>
      <c r="K377" s="49"/>
    </row>
    <row r="378" ht="15.75" customHeight="1">
      <c r="A378" s="47"/>
      <c r="B378" s="35"/>
      <c r="E378" s="48"/>
      <c r="K378" s="49"/>
    </row>
    <row r="379" ht="15.75" customHeight="1">
      <c r="A379" s="47"/>
      <c r="B379" s="35"/>
      <c r="E379" s="48"/>
      <c r="K379" s="49"/>
    </row>
    <row r="380" ht="15.75" customHeight="1">
      <c r="A380" s="47"/>
      <c r="B380" s="35"/>
      <c r="E380" s="48"/>
      <c r="K380" s="49"/>
    </row>
    <row r="381" ht="15.75" customHeight="1">
      <c r="A381" s="47"/>
      <c r="B381" s="35"/>
      <c r="E381" s="48"/>
      <c r="K381" s="49"/>
    </row>
    <row r="382" ht="15.75" customHeight="1">
      <c r="A382" s="47"/>
      <c r="B382" s="35"/>
      <c r="E382" s="48"/>
      <c r="K382" s="49"/>
    </row>
    <row r="383" ht="15.75" customHeight="1">
      <c r="A383" s="47"/>
      <c r="B383" s="35"/>
      <c r="E383" s="48"/>
      <c r="K383" s="49"/>
    </row>
    <row r="384" ht="15.75" customHeight="1">
      <c r="A384" s="47"/>
      <c r="B384" s="35"/>
      <c r="E384" s="48"/>
      <c r="K384" s="49"/>
    </row>
    <row r="385" ht="15.75" customHeight="1">
      <c r="A385" s="47"/>
      <c r="B385" s="35"/>
      <c r="E385" s="48"/>
      <c r="K385" s="49"/>
    </row>
    <row r="386" ht="15.75" customHeight="1">
      <c r="A386" s="47"/>
      <c r="B386" s="35"/>
      <c r="E386" s="48"/>
      <c r="K386" s="49"/>
    </row>
    <row r="387" ht="15.75" customHeight="1">
      <c r="A387" s="47"/>
      <c r="B387" s="35"/>
      <c r="E387" s="48"/>
      <c r="K387" s="49"/>
    </row>
    <row r="388" ht="15.75" customHeight="1">
      <c r="A388" s="47"/>
      <c r="B388" s="35"/>
      <c r="E388" s="48"/>
      <c r="K388" s="49"/>
    </row>
    <row r="389" ht="15.75" customHeight="1">
      <c r="A389" s="47"/>
      <c r="B389" s="35"/>
      <c r="E389" s="48"/>
      <c r="K389" s="49"/>
    </row>
    <row r="390" ht="15.75" customHeight="1">
      <c r="A390" s="47"/>
      <c r="B390" s="35"/>
      <c r="E390" s="48"/>
      <c r="K390" s="49"/>
    </row>
    <row r="391" ht="15.75" customHeight="1">
      <c r="A391" s="47"/>
      <c r="B391" s="35"/>
      <c r="E391" s="48"/>
      <c r="K391" s="49"/>
    </row>
    <row r="392" ht="15.75" customHeight="1">
      <c r="A392" s="47"/>
      <c r="B392" s="35"/>
      <c r="E392" s="48"/>
      <c r="K392" s="49"/>
    </row>
    <row r="393" ht="15.75" customHeight="1">
      <c r="A393" s="47"/>
      <c r="B393" s="35"/>
      <c r="E393" s="48"/>
      <c r="K393" s="49"/>
    </row>
    <row r="394" ht="15.75" customHeight="1">
      <c r="A394" s="47"/>
      <c r="B394" s="35"/>
      <c r="E394" s="48"/>
      <c r="K394" s="49"/>
    </row>
    <row r="395" ht="15.75" customHeight="1">
      <c r="A395" s="47"/>
      <c r="B395" s="35"/>
      <c r="E395" s="48"/>
      <c r="K395" s="49"/>
    </row>
    <row r="396" ht="15.75" customHeight="1">
      <c r="A396" s="47"/>
      <c r="B396" s="35"/>
      <c r="E396" s="48"/>
      <c r="K396" s="49"/>
    </row>
    <row r="397" ht="15.75" customHeight="1">
      <c r="A397" s="47"/>
      <c r="B397" s="35"/>
      <c r="E397" s="48"/>
      <c r="K397" s="49"/>
    </row>
    <row r="398" ht="15.75" customHeight="1">
      <c r="A398" s="47"/>
      <c r="B398" s="35"/>
      <c r="E398" s="48"/>
      <c r="K398" s="49"/>
    </row>
    <row r="399" ht="15.75" customHeight="1">
      <c r="A399" s="47"/>
      <c r="B399" s="35"/>
      <c r="E399" s="48"/>
      <c r="K399" s="49"/>
    </row>
    <row r="400" ht="15.75" customHeight="1">
      <c r="A400" s="47"/>
      <c r="B400" s="35"/>
      <c r="E400" s="48"/>
      <c r="K400" s="49"/>
    </row>
    <row r="401" ht="15.75" customHeight="1">
      <c r="A401" s="47"/>
      <c r="B401" s="35"/>
      <c r="E401" s="48"/>
      <c r="K401" s="49"/>
    </row>
    <row r="402" ht="15.75" customHeight="1">
      <c r="A402" s="47"/>
      <c r="B402" s="35"/>
      <c r="E402" s="48"/>
      <c r="K402" s="49"/>
    </row>
    <row r="403" ht="15.75" customHeight="1">
      <c r="A403" s="47"/>
      <c r="B403" s="35"/>
      <c r="E403" s="48"/>
      <c r="K403" s="49"/>
    </row>
    <row r="404" ht="15.75" customHeight="1">
      <c r="A404" s="47"/>
      <c r="B404" s="35"/>
      <c r="E404" s="48"/>
      <c r="K404" s="49"/>
    </row>
    <row r="405" ht="15.75" customHeight="1">
      <c r="A405" s="47"/>
      <c r="B405" s="35"/>
      <c r="E405" s="48"/>
      <c r="K405" s="49"/>
    </row>
    <row r="406" ht="15.75" customHeight="1">
      <c r="A406" s="47"/>
      <c r="B406" s="35"/>
      <c r="E406" s="48"/>
      <c r="K406" s="49"/>
    </row>
    <row r="407" ht="15.75" customHeight="1">
      <c r="A407" s="47"/>
      <c r="B407" s="35"/>
      <c r="E407" s="48"/>
      <c r="K407" s="49"/>
    </row>
    <row r="408" ht="15.75" customHeight="1">
      <c r="A408" s="47"/>
      <c r="B408" s="35"/>
      <c r="E408" s="48"/>
      <c r="K408" s="49"/>
    </row>
    <row r="409" ht="15.75" customHeight="1">
      <c r="A409" s="47"/>
      <c r="B409" s="35"/>
      <c r="E409" s="48"/>
      <c r="K409" s="49"/>
    </row>
    <row r="410" ht="15.75" customHeight="1">
      <c r="A410" s="47"/>
      <c r="B410" s="35"/>
      <c r="E410" s="48"/>
      <c r="K410" s="49"/>
    </row>
    <row r="411" ht="15.75" customHeight="1">
      <c r="A411" s="47"/>
      <c r="B411" s="35"/>
      <c r="E411" s="48"/>
      <c r="K411" s="49"/>
    </row>
    <row r="412" ht="15.75" customHeight="1">
      <c r="A412" s="47"/>
      <c r="B412" s="35"/>
      <c r="E412" s="48"/>
      <c r="K412" s="49"/>
    </row>
    <row r="413" ht="15.75" customHeight="1">
      <c r="A413" s="47"/>
      <c r="B413" s="35"/>
      <c r="E413" s="48"/>
      <c r="K413" s="49"/>
    </row>
    <row r="414" ht="15.75" customHeight="1">
      <c r="A414" s="47"/>
      <c r="B414" s="35"/>
      <c r="E414" s="48"/>
      <c r="K414" s="49"/>
    </row>
    <row r="415" ht="15.75" customHeight="1">
      <c r="A415" s="47"/>
      <c r="B415" s="35"/>
      <c r="E415" s="48"/>
      <c r="K415" s="49"/>
    </row>
    <row r="416" ht="15.75" customHeight="1">
      <c r="A416" s="47"/>
      <c r="B416" s="35"/>
      <c r="E416" s="48"/>
      <c r="K416" s="49"/>
    </row>
    <row r="417" ht="15.75" customHeight="1">
      <c r="A417" s="47"/>
      <c r="B417" s="35"/>
      <c r="E417" s="48"/>
      <c r="K417" s="49"/>
    </row>
    <row r="418" ht="15.75" customHeight="1">
      <c r="A418" s="47"/>
      <c r="B418" s="35"/>
      <c r="E418" s="48"/>
      <c r="K418" s="49"/>
    </row>
    <row r="419" ht="15.75" customHeight="1">
      <c r="A419" s="47"/>
      <c r="B419" s="35"/>
      <c r="E419" s="48"/>
      <c r="K419" s="49"/>
    </row>
    <row r="420" ht="15.75" customHeight="1">
      <c r="A420" s="47"/>
      <c r="B420" s="35"/>
      <c r="E420" s="48"/>
      <c r="K420" s="49"/>
    </row>
    <row r="421" ht="15.75" customHeight="1">
      <c r="A421" s="47"/>
      <c r="B421" s="35"/>
      <c r="E421" s="48"/>
      <c r="K421" s="49"/>
    </row>
    <row r="422" ht="15.75" customHeight="1">
      <c r="A422" s="47"/>
      <c r="B422" s="35"/>
      <c r="E422" s="48"/>
      <c r="K422" s="49"/>
    </row>
    <row r="423" ht="15.75" customHeight="1">
      <c r="A423" s="47"/>
      <c r="B423" s="35"/>
      <c r="E423" s="48"/>
      <c r="K423" s="49"/>
    </row>
    <row r="424" ht="15.75" customHeight="1">
      <c r="A424" s="47"/>
      <c r="B424" s="35"/>
      <c r="E424" s="48"/>
      <c r="K424" s="49"/>
    </row>
    <row r="425" ht="15.75" customHeight="1">
      <c r="A425" s="47"/>
      <c r="B425" s="35"/>
      <c r="E425" s="48"/>
      <c r="K425" s="49"/>
    </row>
    <row r="426" ht="15.75" customHeight="1">
      <c r="A426" s="47"/>
      <c r="B426" s="35"/>
      <c r="E426" s="48"/>
      <c r="K426" s="49"/>
    </row>
    <row r="427" ht="15.75" customHeight="1">
      <c r="A427" s="47"/>
      <c r="B427" s="35"/>
      <c r="E427" s="48"/>
      <c r="K427" s="49"/>
    </row>
    <row r="428" ht="15.75" customHeight="1">
      <c r="A428" s="47"/>
      <c r="B428" s="35"/>
      <c r="E428" s="48"/>
      <c r="K428" s="49"/>
    </row>
    <row r="429" ht="15.75" customHeight="1">
      <c r="A429" s="47"/>
      <c r="B429" s="35"/>
      <c r="E429" s="48"/>
      <c r="K429" s="49"/>
    </row>
    <row r="430" ht="15.75" customHeight="1">
      <c r="A430" s="47"/>
      <c r="B430" s="35"/>
      <c r="E430" s="48"/>
      <c r="K430" s="49"/>
    </row>
    <row r="431" ht="15.75" customHeight="1">
      <c r="A431" s="47"/>
      <c r="B431" s="35"/>
      <c r="E431" s="48"/>
      <c r="K431" s="49"/>
    </row>
    <row r="432" ht="15.75" customHeight="1">
      <c r="A432" s="47"/>
      <c r="B432" s="35"/>
      <c r="E432" s="48"/>
      <c r="K432" s="49"/>
    </row>
    <row r="433" ht="15.75" customHeight="1">
      <c r="A433" s="47"/>
      <c r="B433" s="35"/>
      <c r="E433" s="48"/>
      <c r="K433" s="49"/>
    </row>
    <row r="434" ht="15.75" customHeight="1">
      <c r="A434" s="47"/>
      <c r="B434" s="35"/>
      <c r="E434" s="48"/>
      <c r="K434" s="49"/>
    </row>
    <row r="435" ht="15.75" customHeight="1">
      <c r="A435" s="47"/>
      <c r="B435" s="35"/>
      <c r="E435" s="48"/>
      <c r="K435" s="49"/>
    </row>
    <row r="436" ht="15.75" customHeight="1">
      <c r="A436" s="47"/>
      <c r="B436" s="35"/>
      <c r="E436" s="48"/>
      <c r="K436" s="49"/>
    </row>
    <row r="437" ht="15.75" customHeight="1">
      <c r="A437" s="47"/>
      <c r="B437" s="35"/>
      <c r="E437" s="48"/>
      <c r="K437" s="49"/>
    </row>
    <row r="438" ht="15.75" customHeight="1">
      <c r="A438" s="47"/>
      <c r="B438" s="35"/>
      <c r="E438" s="48"/>
      <c r="K438" s="49"/>
    </row>
    <row r="439" ht="15.75" customHeight="1">
      <c r="A439" s="47"/>
      <c r="B439" s="35"/>
      <c r="E439" s="48"/>
      <c r="K439" s="49"/>
    </row>
    <row r="440" ht="15.75" customHeight="1">
      <c r="A440" s="47"/>
      <c r="B440" s="35"/>
      <c r="E440" s="48"/>
      <c r="K440" s="49"/>
    </row>
    <row r="441" ht="15.75" customHeight="1">
      <c r="A441" s="47"/>
      <c r="B441" s="35"/>
      <c r="E441" s="48"/>
      <c r="K441" s="49"/>
    </row>
    <row r="442" ht="15.75" customHeight="1">
      <c r="A442" s="47"/>
      <c r="B442" s="35"/>
      <c r="E442" s="48"/>
      <c r="K442" s="49"/>
    </row>
    <row r="443" ht="15.75" customHeight="1">
      <c r="A443" s="47"/>
      <c r="B443" s="35"/>
      <c r="E443" s="48"/>
      <c r="K443" s="49"/>
    </row>
    <row r="444" ht="15.75" customHeight="1">
      <c r="A444" s="47"/>
      <c r="B444" s="35"/>
      <c r="E444" s="48"/>
      <c r="K444" s="49"/>
    </row>
    <row r="445" ht="15.75" customHeight="1">
      <c r="A445" s="47"/>
      <c r="B445" s="35"/>
      <c r="E445" s="48"/>
      <c r="K445" s="49"/>
    </row>
    <row r="446" ht="15.75" customHeight="1">
      <c r="A446" s="47"/>
      <c r="B446" s="35"/>
      <c r="E446" s="48"/>
      <c r="K446" s="49"/>
    </row>
    <row r="447" ht="15.75" customHeight="1">
      <c r="A447" s="47"/>
      <c r="B447" s="35"/>
      <c r="E447" s="48"/>
      <c r="K447" s="49"/>
    </row>
    <row r="448" ht="15.75" customHeight="1">
      <c r="A448" s="47"/>
      <c r="B448" s="35"/>
      <c r="E448" s="48"/>
      <c r="K448" s="49"/>
    </row>
    <row r="449" ht="15.75" customHeight="1">
      <c r="A449" s="47"/>
      <c r="B449" s="35"/>
      <c r="E449" s="48"/>
      <c r="K449" s="49"/>
    </row>
    <row r="450" ht="15.75" customHeight="1">
      <c r="A450" s="47"/>
      <c r="B450" s="35"/>
      <c r="E450" s="48"/>
      <c r="K450" s="49"/>
    </row>
    <row r="451" ht="15.75" customHeight="1">
      <c r="A451" s="47"/>
      <c r="B451" s="35"/>
      <c r="E451" s="48"/>
      <c r="K451" s="49"/>
    </row>
    <row r="452" ht="15.75" customHeight="1">
      <c r="A452" s="47"/>
      <c r="B452" s="35"/>
      <c r="E452" s="48"/>
      <c r="K452" s="49"/>
    </row>
    <row r="453" ht="15.75" customHeight="1">
      <c r="A453" s="47"/>
      <c r="B453" s="35"/>
      <c r="E453" s="48"/>
      <c r="K453" s="49"/>
    </row>
    <row r="454" ht="15.75" customHeight="1">
      <c r="A454" s="47"/>
      <c r="B454" s="35"/>
      <c r="E454" s="48"/>
      <c r="K454" s="49"/>
    </row>
    <row r="455" ht="15.75" customHeight="1">
      <c r="A455" s="47"/>
      <c r="B455" s="35"/>
      <c r="E455" s="48"/>
      <c r="K455" s="49"/>
    </row>
    <row r="456" ht="15.75" customHeight="1">
      <c r="A456" s="47"/>
      <c r="B456" s="35"/>
      <c r="E456" s="48"/>
      <c r="K456" s="49"/>
    </row>
    <row r="457" ht="15.75" customHeight="1">
      <c r="A457" s="47"/>
      <c r="B457" s="35"/>
      <c r="E457" s="48"/>
      <c r="K457" s="49"/>
    </row>
    <row r="458" ht="15.75" customHeight="1">
      <c r="A458" s="47"/>
      <c r="B458" s="35"/>
      <c r="E458" s="48"/>
      <c r="K458" s="49"/>
    </row>
    <row r="459" ht="15.75" customHeight="1">
      <c r="A459" s="47"/>
      <c r="B459" s="35"/>
      <c r="E459" s="48"/>
      <c r="K459" s="49"/>
    </row>
    <row r="460" ht="15.75" customHeight="1">
      <c r="A460" s="47"/>
      <c r="B460" s="35"/>
      <c r="E460" s="48"/>
      <c r="K460" s="49"/>
    </row>
    <row r="461" ht="15.75" customHeight="1">
      <c r="A461" s="47"/>
      <c r="B461" s="35"/>
      <c r="E461" s="48"/>
      <c r="K461" s="49"/>
    </row>
    <row r="462" ht="15.75" customHeight="1">
      <c r="A462" s="47"/>
      <c r="B462" s="35"/>
      <c r="E462" s="48"/>
      <c r="K462" s="49"/>
    </row>
    <row r="463" ht="15.75" customHeight="1">
      <c r="A463" s="47"/>
      <c r="B463" s="35"/>
      <c r="E463" s="48"/>
      <c r="K463" s="49"/>
    </row>
    <row r="464" ht="15.75" customHeight="1">
      <c r="A464" s="47"/>
      <c r="B464" s="35"/>
      <c r="E464" s="48"/>
      <c r="K464" s="49"/>
    </row>
    <row r="465" ht="15.75" customHeight="1">
      <c r="A465" s="47"/>
      <c r="B465" s="35"/>
      <c r="E465" s="48"/>
      <c r="K465" s="49"/>
    </row>
    <row r="466" ht="15.75" customHeight="1">
      <c r="A466" s="47"/>
      <c r="B466" s="35"/>
      <c r="E466" s="48"/>
      <c r="K466" s="49"/>
    </row>
    <row r="467" ht="15.75" customHeight="1">
      <c r="A467" s="47"/>
      <c r="B467" s="35"/>
      <c r="E467" s="48"/>
      <c r="K467" s="49"/>
    </row>
    <row r="468" ht="15.75" customHeight="1">
      <c r="A468" s="47"/>
      <c r="B468" s="35"/>
      <c r="E468" s="48"/>
      <c r="K468" s="49"/>
    </row>
    <row r="469" ht="15.75" customHeight="1">
      <c r="A469" s="47"/>
      <c r="B469" s="35"/>
      <c r="E469" s="48"/>
      <c r="K469" s="49"/>
    </row>
    <row r="470" ht="15.75" customHeight="1">
      <c r="A470" s="47"/>
      <c r="B470" s="35"/>
      <c r="E470" s="48"/>
      <c r="K470" s="49"/>
    </row>
    <row r="471" ht="15.75" customHeight="1">
      <c r="A471" s="47"/>
      <c r="B471" s="35"/>
      <c r="E471" s="48"/>
      <c r="K471" s="49"/>
    </row>
    <row r="472" ht="15.75" customHeight="1">
      <c r="A472" s="47"/>
      <c r="B472" s="35"/>
      <c r="E472" s="48"/>
      <c r="K472" s="49"/>
    </row>
    <row r="473" ht="15.75" customHeight="1">
      <c r="A473" s="47"/>
      <c r="B473" s="35"/>
      <c r="E473" s="48"/>
      <c r="K473" s="49"/>
    </row>
    <row r="474" ht="15.75" customHeight="1">
      <c r="A474" s="47"/>
      <c r="B474" s="35"/>
      <c r="E474" s="48"/>
      <c r="K474" s="49"/>
    </row>
    <row r="475" ht="15.75" customHeight="1">
      <c r="A475" s="47"/>
      <c r="B475" s="35"/>
      <c r="E475" s="48"/>
      <c r="K475" s="49"/>
    </row>
    <row r="476" ht="15.75" customHeight="1">
      <c r="A476" s="47"/>
      <c r="B476" s="35"/>
      <c r="E476" s="48"/>
      <c r="K476" s="49"/>
    </row>
    <row r="477" ht="15.75" customHeight="1">
      <c r="A477" s="47"/>
      <c r="B477" s="35"/>
      <c r="E477" s="48"/>
      <c r="K477" s="49"/>
    </row>
    <row r="478" ht="15.75" customHeight="1">
      <c r="A478" s="47"/>
      <c r="B478" s="35"/>
      <c r="E478" s="48"/>
      <c r="K478" s="49"/>
    </row>
    <row r="479" ht="15.75" customHeight="1">
      <c r="A479" s="47"/>
      <c r="B479" s="35"/>
      <c r="E479" s="48"/>
      <c r="K479" s="49"/>
    </row>
    <row r="480" ht="15.75" customHeight="1">
      <c r="A480" s="47"/>
      <c r="B480" s="35"/>
      <c r="E480" s="48"/>
      <c r="K480" s="49"/>
    </row>
    <row r="481" ht="15.75" customHeight="1">
      <c r="A481" s="47"/>
      <c r="B481" s="35"/>
      <c r="E481" s="48"/>
      <c r="K481" s="49"/>
    </row>
    <row r="482" ht="15.75" customHeight="1">
      <c r="A482" s="47"/>
      <c r="B482" s="35"/>
      <c r="E482" s="48"/>
      <c r="K482" s="49"/>
    </row>
    <row r="483" ht="15.75" customHeight="1">
      <c r="A483" s="47"/>
      <c r="B483" s="35"/>
      <c r="E483" s="48"/>
      <c r="K483" s="49"/>
    </row>
    <row r="484" ht="15.75" customHeight="1">
      <c r="A484" s="47"/>
      <c r="B484" s="35"/>
      <c r="E484" s="48"/>
      <c r="K484" s="49"/>
    </row>
    <row r="485" ht="15.75" customHeight="1">
      <c r="A485" s="47"/>
      <c r="B485" s="35"/>
      <c r="E485" s="48"/>
      <c r="K485" s="49"/>
    </row>
    <row r="486" ht="15.75" customHeight="1">
      <c r="A486" s="47"/>
      <c r="B486" s="35"/>
      <c r="E486" s="48"/>
      <c r="K486" s="49"/>
    </row>
    <row r="487" ht="15.75" customHeight="1">
      <c r="A487" s="47"/>
      <c r="B487" s="35"/>
      <c r="E487" s="48"/>
      <c r="K487" s="49"/>
    </row>
    <row r="488" ht="15.75" customHeight="1">
      <c r="A488" s="47"/>
      <c r="B488" s="35"/>
      <c r="E488" s="48"/>
      <c r="K488" s="49"/>
    </row>
    <row r="489" ht="15.75" customHeight="1">
      <c r="A489" s="47"/>
      <c r="B489" s="35"/>
      <c r="E489" s="48"/>
      <c r="K489" s="49"/>
    </row>
    <row r="490" ht="15.75" customHeight="1">
      <c r="A490" s="47"/>
      <c r="B490" s="35"/>
      <c r="E490" s="48"/>
      <c r="K490" s="49"/>
    </row>
    <row r="491" ht="15.75" customHeight="1">
      <c r="A491" s="47"/>
      <c r="B491" s="35"/>
      <c r="E491" s="48"/>
      <c r="K491" s="49"/>
    </row>
    <row r="492" ht="15.75" customHeight="1">
      <c r="A492" s="47"/>
      <c r="B492" s="35"/>
      <c r="E492" s="48"/>
      <c r="K492" s="49"/>
    </row>
    <row r="493" ht="15.75" customHeight="1">
      <c r="A493" s="47"/>
      <c r="B493" s="35"/>
      <c r="E493" s="48"/>
      <c r="K493" s="49"/>
    </row>
    <row r="494" ht="15.75" customHeight="1">
      <c r="A494" s="47"/>
      <c r="B494" s="35"/>
      <c r="E494" s="48"/>
      <c r="K494" s="49"/>
    </row>
    <row r="495" ht="15.75" customHeight="1">
      <c r="A495" s="47"/>
      <c r="B495" s="35"/>
      <c r="E495" s="48"/>
      <c r="K495" s="49"/>
    </row>
    <row r="496" ht="15.75" customHeight="1">
      <c r="A496" s="47"/>
      <c r="B496" s="35"/>
      <c r="E496" s="48"/>
      <c r="K496" s="49"/>
    </row>
    <row r="497" ht="15.75" customHeight="1">
      <c r="A497" s="47"/>
      <c r="B497" s="35"/>
      <c r="E497" s="48"/>
      <c r="K497" s="49"/>
    </row>
    <row r="498" ht="15.75" customHeight="1">
      <c r="A498" s="47"/>
      <c r="B498" s="35"/>
      <c r="E498" s="48"/>
      <c r="K498" s="49"/>
    </row>
    <row r="499" ht="15.75" customHeight="1">
      <c r="A499" s="47"/>
      <c r="B499" s="35"/>
      <c r="E499" s="48"/>
      <c r="K499" s="49"/>
    </row>
    <row r="500" ht="15.75" customHeight="1">
      <c r="A500" s="47"/>
      <c r="B500" s="35"/>
      <c r="E500" s="48"/>
      <c r="K500" s="49"/>
    </row>
    <row r="501" ht="15.75" customHeight="1">
      <c r="A501" s="47"/>
      <c r="B501" s="35"/>
      <c r="E501" s="48"/>
      <c r="K501" s="49"/>
    </row>
    <row r="502" ht="15.75" customHeight="1">
      <c r="A502" s="47"/>
      <c r="B502" s="35"/>
      <c r="E502" s="48"/>
      <c r="K502" s="49"/>
    </row>
    <row r="503" ht="15.75" customHeight="1">
      <c r="A503" s="47"/>
      <c r="B503" s="35"/>
      <c r="E503" s="48"/>
      <c r="K503" s="49"/>
    </row>
    <row r="504" ht="15.75" customHeight="1">
      <c r="A504" s="47"/>
      <c r="B504" s="35"/>
      <c r="E504" s="48"/>
      <c r="K504" s="49"/>
    </row>
    <row r="505" ht="15.75" customHeight="1">
      <c r="A505" s="47"/>
      <c r="B505" s="35"/>
      <c r="E505" s="48"/>
      <c r="K505" s="49"/>
    </row>
    <row r="506" ht="15.75" customHeight="1">
      <c r="A506" s="47"/>
      <c r="B506" s="35"/>
      <c r="E506" s="48"/>
      <c r="K506" s="49"/>
    </row>
    <row r="507" ht="15.75" customHeight="1">
      <c r="A507" s="47"/>
      <c r="B507" s="35"/>
      <c r="E507" s="48"/>
      <c r="K507" s="49"/>
    </row>
    <row r="508" ht="15.75" customHeight="1">
      <c r="A508" s="47"/>
      <c r="B508" s="35"/>
      <c r="E508" s="48"/>
      <c r="K508" s="49"/>
    </row>
    <row r="509" ht="15.75" customHeight="1">
      <c r="A509" s="47"/>
      <c r="B509" s="35"/>
      <c r="E509" s="48"/>
      <c r="K509" s="49"/>
    </row>
    <row r="510" ht="15.75" customHeight="1">
      <c r="A510" s="47"/>
      <c r="B510" s="35"/>
      <c r="E510" s="48"/>
      <c r="K510" s="49"/>
    </row>
    <row r="511" ht="15.75" customHeight="1">
      <c r="A511" s="47"/>
      <c r="B511" s="35"/>
      <c r="E511" s="48"/>
      <c r="K511" s="49"/>
    </row>
    <row r="512" ht="15.75" customHeight="1">
      <c r="A512" s="47"/>
      <c r="B512" s="35"/>
      <c r="E512" s="48"/>
      <c r="K512" s="49"/>
    </row>
    <row r="513" ht="15.75" customHeight="1">
      <c r="A513" s="47"/>
      <c r="B513" s="35"/>
      <c r="E513" s="48"/>
      <c r="K513" s="49"/>
    </row>
    <row r="514" ht="15.75" customHeight="1">
      <c r="A514" s="47"/>
      <c r="B514" s="35"/>
      <c r="E514" s="48"/>
      <c r="K514" s="49"/>
    </row>
    <row r="515" ht="15.75" customHeight="1">
      <c r="A515" s="47"/>
      <c r="B515" s="35"/>
      <c r="E515" s="48"/>
      <c r="K515" s="49"/>
    </row>
    <row r="516" ht="15.75" customHeight="1">
      <c r="A516" s="47"/>
      <c r="B516" s="35"/>
      <c r="E516" s="48"/>
      <c r="K516" s="49"/>
    </row>
    <row r="517" ht="15.75" customHeight="1">
      <c r="A517" s="47"/>
      <c r="B517" s="35"/>
      <c r="E517" s="48"/>
      <c r="K517" s="49"/>
    </row>
    <row r="518" ht="15.75" customHeight="1">
      <c r="A518" s="47"/>
      <c r="B518" s="35"/>
      <c r="E518" s="48"/>
      <c r="K518" s="49"/>
    </row>
    <row r="519" ht="15.75" customHeight="1">
      <c r="A519" s="47"/>
      <c r="B519" s="35"/>
      <c r="E519" s="48"/>
      <c r="K519" s="49"/>
    </row>
    <row r="520" ht="15.75" customHeight="1">
      <c r="A520" s="47"/>
      <c r="B520" s="35"/>
      <c r="E520" s="48"/>
      <c r="K520" s="49"/>
    </row>
    <row r="521" ht="15.75" customHeight="1">
      <c r="A521" s="47"/>
      <c r="B521" s="35"/>
      <c r="E521" s="48"/>
      <c r="K521" s="49"/>
    </row>
    <row r="522" ht="15.75" customHeight="1">
      <c r="A522" s="47"/>
      <c r="B522" s="35"/>
      <c r="E522" s="48"/>
      <c r="K522" s="49"/>
    </row>
    <row r="523" ht="15.75" customHeight="1">
      <c r="A523" s="47"/>
      <c r="B523" s="35"/>
      <c r="E523" s="48"/>
      <c r="K523" s="49"/>
    </row>
    <row r="524" ht="15.75" customHeight="1">
      <c r="A524" s="47"/>
      <c r="B524" s="35"/>
      <c r="E524" s="48"/>
      <c r="K524" s="49"/>
    </row>
    <row r="525" ht="15.75" customHeight="1">
      <c r="A525" s="47"/>
      <c r="B525" s="35"/>
      <c r="E525" s="48"/>
      <c r="K525" s="49"/>
    </row>
    <row r="526" ht="15.75" customHeight="1">
      <c r="A526" s="47"/>
      <c r="B526" s="35"/>
      <c r="E526" s="48"/>
      <c r="K526" s="49"/>
    </row>
    <row r="527" ht="15.75" customHeight="1">
      <c r="A527" s="47"/>
      <c r="B527" s="35"/>
      <c r="E527" s="48"/>
      <c r="K527" s="49"/>
    </row>
    <row r="528" ht="15.75" customHeight="1">
      <c r="A528" s="47"/>
      <c r="B528" s="35"/>
      <c r="E528" s="48"/>
      <c r="K528" s="49"/>
    </row>
    <row r="529" ht="15.75" customHeight="1">
      <c r="A529" s="47"/>
      <c r="B529" s="35"/>
      <c r="E529" s="48"/>
      <c r="K529" s="49"/>
    </row>
    <row r="530" ht="15.75" customHeight="1">
      <c r="A530" s="47"/>
      <c r="B530" s="35"/>
      <c r="E530" s="48"/>
      <c r="K530" s="49"/>
    </row>
    <row r="531" ht="15.75" customHeight="1">
      <c r="A531" s="47"/>
      <c r="B531" s="35"/>
      <c r="E531" s="48"/>
      <c r="K531" s="49"/>
    </row>
    <row r="532" ht="15.75" customHeight="1">
      <c r="A532" s="47"/>
      <c r="B532" s="35"/>
      <c r="E532" s="48"/>
      <c r="K532" s="49"/>
    </row>
    <row r="533" ht="15.75" customHeight="1">
      <c r="A533" s="47"/>
      <c r="B533" s="35"/>
      <c r="E533" s="48"/>
      <c r="K533" s="49"/>
    </row>
    <row r="534" ht="15.75" customHeight="1">
      <c r="A534" s="47"/>
      <c r="B534" s="35"/>
      <c r="E534" s="48"/>
      <c r="K534" s="49"/>
    </row>
    <row r="535" ht="15.75" customHeight="1">
      <c r="A535" s="47"/>
      <c r="B535" s="35"/>
      <c r="E535" s="48"/>
      <c r="K535" s="49"/>
    </row>
    <row r="536" ht="15.75" customHeight="1">
      <c r="A536" s="47"/>
      <c r="B536" s="35"/>
      <c r="E536" s="48"/>
      <c r="K536" s="49"/>
    </row>
    <row r="537" ht="15.75" customHeight="1">
      <c r="A537" s="47"/>
      <c r="B537" s="35"/>
      <c r="E537" s="48"/>
      <c r="K537" s="49"/>
    </row>
    <row r="538" ht="15.75" customHeight="1">
      <c r="A538" s="47"/>
      <c r="B538" s="35"/>
      <c r="E538" s="48"/>
      <c r="K538" s="49"/>
    </row>
    <row r="539" ht="15.75" customHeight="1">
      <c r="A539" s="47"/>
      <c r="B539" s="35"/>
      <c r="E539" s="48"/>
      <c r="K539" s="49"/>
    </row>
    <row r="540" ht="15.75" customHeight="1">
      <c r="A540" s="47"/>
      <c r="B540" s="35"/>
      <c r="E540" s="48"/>
      <c r="K540" s="49"/>
    </row>
    <row r="541" ht="15.75" customHeight="1">
      <c r="A541" s="47"/>
      <c r="B541" s="35"/>
      <c r="E541" s="48"/>
      <c r="K541" s="49"/>
    </row>
    <row r="542" ht="15.75" customHeight="1">
      <c r="A542" s="47"/>
      <c r="B542" s="35"/>
      <c r="E542" s="48"/>
      <c r="K542" s="49"/>
    </row>
    <row r="543" ht="15.75" customHeight="1">
      <c r="A543" s="47"/>
      <c r="B543" s="35"/>
      <c r="E543" s="48"/>
      <c r="K543" s="49"/>
    </row>
    <row r="544" ht="15.75" customHeight="1">
      <c r="A544" s="47"/>
      <c r="B544" s="35"/>
      <c r="E544" s="48"/>
      <c r="K544" s="49"/>
    </row>
    <row r="545" ht="15.75" customHeight="1">
      <c r="A545" s="47"/>
      <c r="B545" s="35"/>
      <c r="E545" s="48"/>
      <c r="K545" s="49"/>
    </row>
    <row r="546" ht="15.75" customHeight="1">
      <c r="A546" s="47"/>
      <c r="B546" s="35"/>
      <c r="E546" s="48"/>
      <c r="K546" s="49"/>
    </row>
    <row r="547" ht="15.75" customHeight="1">
      <c r="A547" s="47"/>
      <c r="B547" s="35"/>
      <c r="E547" s="48"/>
      <c r="K547" s="49"/>
    </row>
    <row r="548" ht="15.75" customHeight="1">
      <c r="A548" s="47"/>
      <c r="B548" s="35"/>
      <c r="E548" s="48"/>
      <c r="K548" s="49"/>
    </row>
    <row r="549" ht="15.75" customHeight="1">
      <c r="A549" s="47"/>
      <c r="B549" s="35"/>
      <c r="E549" s="48"/>
      <c r="K549" s="49"/>
    </row>
    <row r="550" ht="15.75" customHeight="1">
      <c r="A550" s="47"/>
      <c r="B550" s="35"/>
      <c r="E550" s="48"/>
      <c r="K550" s="49"/>
    </row>
    <row r="551" ht="15.75" customHeight="1">
      <c r="A551" s="47"/>
      <c r="B551" s="35"/>
      <c r="E551" s="48"/>
      <c r="K551" s="49"/>
    </row>
    <row r="552" ht="15.75" customHeight="1">
      <c r="A552" s="47"/>
      <c r="B552" s="35"/>
      <c r="E552" s="48"/>
      <c r="K552" s="49"/>
    </row>
    <row r="553" ht="15.75" customHeight="1">
      <c r="A553" s="47"/>
      <c r="B553" s="35"/>
      <c r="E553" s="48"/>
      <c r="K553" s="49"/>
    </row>
    <row r="554" ht="15.75" customHeight="1">
      <c r="A554" s="47"/>
      <c r="B554" s="35"/>
      <c r="E554" s="48"/>
      <c r="K554" s="49"/>
    </row>
    <row r="555" ht="15.75" customHeight="1">
      <c r="A555" s="47"/>
      <c r="B555" s="35"/>
      <c r="E555" s="48"/>
      <c r="K555" s="49"/>
    </row>
    <row r="556" ht="15.75" customHeight="1">
      <c r="A556" s="47"/>
      <c r="B556" s="35"/>
      <c r="E556" s="48"/>
      <c r="K556" s="49"/>
    </row>
    <row r="557" ht="15.75" customHeight="1">
      <c r="A557" s="47"/>
      <c r="B557" s="35"/>
      <c r="E557" s="48"/>
      <c r="K557" s="49"/>
    </row>
    <row r="558" ht="15.75" customHeight="1">
      <c r="A558" s="47"/>
      <c r="B558" s="35"/>
      <c r="E558" s="48"/>
      <c r="K558" s="49"/>
    </row>
    <row r="559" ht="15.75" customHeight="1">
      <c r="A559" s="47"/>
      <c r="B559" s="35"/>
      <c r="E559" s="48"/>
      <c r="K559" s="49"/>
    </row>
    <row r="560" ht="15.75" customHeight="1">
      <c r="A560" s="47"/>
      <c r="B560" s="35"/>
      <c r="E560" s="48"/>
      <c r="K560" s="49"/>
    </row>
    <row r="561" ht="15.75" customHeight="1">
      <c r="A561" s="47"/>
      <c r="B561" s="35"/>
      <c r="E561" s="48"/>
      <c r="K561" s="49"/>
    </row>
    <row r="562" ht="15.75" customHeight="1">
      <c r="A562" s="47"/>
      <c r="B562" s="35"/>
      <c r="E562" s="48"/>
      <c r="K562" s="49"/>
    </row>
    <row r="563" ht="15.75" customHeight="1">
      <c r="A563" s="47"/>
      <c r="B563" s="35"/>
      <c r="E563" s="48"/>
      <c r="K563" s="49"/>
    </row>
    <row r="564" ht="15.75" customHeight="1">
      <c r="A564" s="47"/>
      <c r="B564" s="35"/>
      <c r="E564" s="48"/>
      <c r="K564" s="49"/>
    </row>
    <row r="565" ht="15.75" customHeight="1">
      <c r="A565" s="47"/>
      <c r="B565" s="35"/>
      <c r="E565" s="48"/>
      <c r="K565" s="49"/>
    </row>
    <row r="566" ht="15.75" customHeight="1">
      <c r="A566" s="47"/>
      <c r="B566" s="35"/>
      <c r="E566" s="48"/>
      <c r="K566" s="49"/>
    </row>
    <row r="567" ht="15.75" customHeight="1">
      <c r="A567" s="47"/>
      <c r="B567" s="35"/>
      <c r="E567" s="48"/>
      <c r="K567" s="49"/>
    </row>
    <row r="568" ht="15.75" customHeight="1">
      <c r="A568" s="47"/>
      <c r="B568" s="35"/>
      <c r="E568" s="48"/>
      <c r="K568" s="49"/>
    </row>
    <row r="569" ht="15.75" customHeight="1">
      <c r="A569" s="47"/>
      <c r="B569" s="35"/>
      <c r="E569" s="48"/>
      <c r="K569" s="49"/>
    </row>
    <row r="570" ht="15.75" customHeight="1">
      <c r="A570" s="47"/>
      <c r="B570" s="35"/>
      <c r="E570" s="48"/>
      <c r="K570" s="49"/>
    </row>
    <row r="571" ht="15.75" customHeight="1">
      <c r="A571" s="47"/>
      <c r="B571" s="35"/>
      <c r="E571" s="48"/>
      <c r="K571" s="49"/>
    </row>
    <row r="572" ht="15.75" customHeight="1">
      <c r="A572" s="47"/>
      <c r="B572" s="35"/>
      <c r="E572" s="48"/>
      <c r="K572" s="49"/>
    </row>
    <row r="573" ht="15.75" customHeight="1">
      <c r="A573" s="47"/>
      <c r="B573" s="35"/>
      <c r="E573" s="48"/>
      <c r="K573" s="49"/>
    </row>
    <row r="574" ht="15.75" customHeight="1">
      <c r="A574" s="47"/>
      <c r="B574" s="35"/>
      <c r="E574" s="48"/>
      <c r="K574" s="49"/>
    </row>
    <row r="575" ht="15.75" customHeight="1">
      <c r="A575" s="47"/>
      <c r="B575" s="35"/>
      <c r="E575" s="48"/>
      <c r="K575" s="49"/>
    </row>
    <row r="576" ht="15.75" customHeight="1">
      <c r="A576" s="47"/>
      <c r="B576" s="35"/>
      <c r="E576" s="48"/>
      <c r="K576" s="49"/>
    </row>
    <row r="577" ht="15.75" customHeight="1">
      <c r="A577" s="47"/>
      <c r="B577" s="35"/>
      <c r="E577" s="48"/>
      <c r="K577" s="49"/>
    </row>
    <row r="578" ht="15.75" customHeight="1">
      <c r="A578" s="47"/>
      <c r="B578" s="35"/>
      <c r="E578" s="48"/>
      <c r="K578" s="49"/>
    </row>
    <row r="579" ht="15.75" customHeight="1">
      <c r="A579" s="47"/>
      <c r="B579" s="35"/>
      <c r="E579" s="48"/>
      <c r="K579" s="49"/>
    </row>
    <row r="580" ht="15.75" customHeight="1">
      <c r="A580" s="47"/>
      <c r="B580" s="35"/>
      <c r="E580" s="48"/>
      <c r="K580" s="49"/>
    </row>
    <row r="581" ht="15.75" customHeight="1">
      <c r="A581" s="47"/>
      <c r="B581" s="35"/>
      <c r="E581" s="48"/>
      <c r="K581" s="49"/>
    </row>
    <row r="582" ht="15.75" customHeight="1">
      <c r="A582" s="47"/>
      <c r="B582" s="35"/>
      <c r="E582" s="48"/>
      <c r="K582" s="49"/>
    </row>
    <row r="583" ht="15.75" customHeight="1">
      <c r="A583" s="47"/>
      <c r="B583" s="35"/>
      <c r="E583" s="48"/>
      <c r="K583" s="49"/>
    </row>
    <row r="584" ht="15.75" customHeight="1">
      <c r="A584" s="47"/>
      <c r="B584" s="35"/>
      <c r="E584" s="48"/>
      <c r="K584" s="49"/>
    </row>
    <row r="585" ht="15.75" customHeight="1">
      <c r="A585" s="47"/>
      <c r="B585" s="35"/>
      <c r="E585" s="48"/>
      <c r="K585" s="49"/>
    </row>
    <row r="586" ht="15.75" customHeight="1">
      <c r="A586" s="47"/>
      <c r="B586" s="35"/>
      <c r="E586" s="48"/>
      <c r="K586" s="49"/>
    </row>
    <row r="587" ht="15.75" customHeight="1">
      <c r="A587" s="47"/>
      <c r="B587" s="35"/>
      <c r="E587" s="48"/>
      <c r="K587" s="49"/>
    </row>
    <row r="588" ht="15.75" customHeight="1">
      <c r="A588" s="47"/>
      <c r="B588" s="35"/>
      <c r="E588" s="48"/>
      <c r="K588" s="49"/>
    </row>
    <row r="589" ht="15.75" customHeight="1">
      <c r="A589" s="47"/>
      <c r="B589" s="35"/>
      <c r="E589" s="48"/>
      <c r="K589" s="49"/>
    </row>
    <row r="590" ht="15.75" customHeight="1">
      <c r="A590" s="47"/>
      <c r="B590" s="35"/>
      <c r="E590" s="48"/>
      <c r="K590" s="49"/>
    </row>
    <row r="591" ht="15.75" customHeight="1">
      <c r="A591" s="47"/>
      <c r="B591" s="35"/>
      <c r="E591" s="48"/>
      <c r="K591" s="49"/>
    </row>
    <row r="592" ht="15.75" customHeight="1">
      <c r="A592" s="47"/>
      <c r="B592" s="35"/>
      <c r="E592" s="48"/>
      <c r="K592" s="49"/>
    </row>
    <row r="593" ht="15.75" customHeight="1">
      <c r="A593" s="47"/>
      <c r="B593" s="35"/>
      <c r="E593" s="48"/>
      <c r="K593" s="49"/>
    </row>
    <row r="594" ht="15.75" customHeight="1">
      <c r="A594" s="47"/>
      <c r="B594" s="35"/>
      <c r="E594" s="48"/>
      <c r="K594" s="49"/>
    </row>
    <row r="595" ht="15.75" customHeight="1">
      <c r="A595" s="47"/>
      <c r="B595" s="35"/>
      <c r="E595" s="48"/>
      <c r="K595" s="49"/>
    </row>
    <row r="596" ht="15.75" customHeight="1">
      <c r="A596" s="47"/>
      <c r="B596" s="35"/>
      <c r="E596" s="48"/>
      <c r="K596" s="49"/>
    </row>
    <row r="597" ht="15.75" customHeight="1">
      <c r="A597" s="47"/>
      <c r="B597" s="35"/>
      <c r="E597" s="48"/>
      <c r="K597" s="49"/>
    </row>
    <row r="598" ht="15.75" customHeight="1">
      <c r="A598" s="47"/>
      <c r="B598" s="35"/>
      <c r="E598" s="48"/>
      <c r="K598" s="49"/>
    </row>
    <row r="599" ht="15.75" customHeight="1">
      <c r="A599" s="47"/>
      <c r="B599" s="35"/>
      <c r="E599" s="48"/>
      <c r="K599" s="49"/>
    </row>
    <row r="600" ht="15.75" customHeight="1">
      <c r="A600" s="47"/>
      <c r="B600" s="35"/>
      <c r="E600" s="48"/>
      <c r="K600" s="49"/>
    </row>
    <row r="601" ht="15.75" customHeight="1">
      <c r="A601" s="47"/>
      <c r="B601" s="35"/>
      <c r="E601" s="48"/>
      <c r="K601" s="49"/>
    </row>
    <row r="602" ht="15.75" customHeight="1">
      <c r="A602" s="47"/>
      <c r="B602" s="35"/>
      <c r="E602" s="48"/>
      <c r="K602" s="49"/>
    </row>
    <row r="603" ht="15.75" customHeight="1">
      <c r="A603" s="47"/>
      <c r="B603" s="35"/>
      <c r="E603" s="48"/>
      <c r="K603" s="49"/>
    </row>
    <row r="604" ht="15.75" customHeight="1">
      <c r="A604" s="47"/>
      <c r="B604" s="35"/>
      <c r="E604" s="48"/>
      <c r="K604" s="49"/>
    </row>
    <row r="605" ht="15.75" customHeight="1">
      <c r="A605" s="47"/>
      <c r="B605" s="35"/>
      <c r="E605" s="48"/>
      <c r="K605" s="49"/>
    </row>
    <row r="606" ht="15.75" customHeight="1">
      <c r="A606" s="47"/>
      <c r="B606" s="35"/>
      <c r="E606" s="48"/>
      <c r="K606" s="49"/>
    </row>
    <row r="607" ht="15.75" customHeight="1">
      <c r="A607" s="47"/>
      <c r="B607" s="35"/>
      <c r="E607" s="48"/>
      <c r="K607" s="49"/>
    </row>
    <row r="608" ht="15.75" customHeight="1">
      <c r="A608" s="47"/>
      <c r="B608" s="35"/>
      <c r="E608" s="48"/>
      <c r="K608" s="49"/>
    </row>
    <row r="609" ht="15.75" customHeight="1">
      <c r="A609" s="47"/>
      <c r="B609" s="35"/>
      <c r="E609" s="48"/>
      <c r="K609" s="49"/>
    </row>
    <row r="610" ht="15.75" customHeight="1">
      <c r="A610" s="47"/>
      <c r="B610" s="35"/>
      <c r="E610" s="48"/>
      <c r="K610" s="49"/>
    </row>
    <row r="611" ht="15.75" customHeight="1">
      <c r="A611" s="47"/>
      <c r="B611" s="35"/>
      <c r="E611" s="48"/>
      <c r="K611" s="49"/>
    </row>
    <row r="612" ht="15.75" customHeight="1">
      <c r="A612" s="47"/>
      <c r="B612" s="35"/>
      <c r="E612" s="48"/>
      <c r="K612" s="49"/>
    </row>
    <row r="613" ht="15.75" customHeight="1">
      <c r="A613" s="47"/>
      <c r="B613" s="35"/>
      <c r="E613" s="48"/>
      <c r="K613" s="49"/>
    </row>
    <row r="614" ht="15.75" customHeight="1">
      <c r="A614" s="47"/>
      <c r="B614" s="35"/>
      <c r="E614" s="48"/>
      <c r="K614" s="49"/>
    </row>
    <row r="615" ht="15.75" customHeight="1">
      <c r="A615" s="47"/>
      <c r="B615" s="35"/>
      <c r="E615" s="48"/>
      <c r="K615" s="49"/>
    </row>
    <row r="616" ht="15.75" customHeight="1">
      <c r="A616" s="47"/>
      <c r="B616" s="35"/>
      <c r="E616" s="48"/>
      <c r="K616" s="49"/>
    </row>
    <row r="617" ht="15.75" customHeight="1">
      <c r="A617" s="47"/>
      <c r="B617" s="35"/>
      <c r="E617" s="48"/>
      <c r="K617" s="49"/>
    </row>
    <row r="618" ht="15.75" customHeight="1">
      <c r="A618" s="47"/>
      <c r="B618" s="35"/>
      <c r="E618" s="48"/>
      <c r="K618" s="49"/>
    </row>
    <row r="619" ht="15.75" customHeight="1">
      <c r="A619" s="47"/>
      <c r="B619" s="35"/>
      <c r="E619" s="48"/>
      <c r="K619" s="49"/>
    </row>
    <row r="620" ht="15.75" customHeight="1">
      <c r="A620" s="47"/>
      <c r="B620" s="35"/>
      <c r="E620" s="48"/>
      <c r="K620" s="49"/>
    </row>
    <row r="621" ht="15.75" customHeight="1">
      <c r="A621" s="47"/>
      <c r="B621" s="35"/>
      <c r="E621" s="48"/>
      <c r="K621" s="49"/>
    </row>
    <row r="622" ht="15.75" customHeight="1">
      <c r="A622" s="47"/>
      <c r="B622" s="35"/>
      <c r="E622" s="48"/>
      <c r="K622" s="49"/>
    </row>
    <row r="623" ht="15.75" customHeight="1">
      <c r="A623" s="47"/>
      <c r="B623" s="35"/>
      <c r="E623" s="48"/>
      <c r="K623" s="49"/>
    </row>
    <row r="624" ht="15.75" customHeight="1">
      <c r="A624" s="47"/>
      <c r="B624" s="35"/>
      <c r="E624" s="48"/>
      <c r="K624" s="49"/>
    </row>
    <row r="625" ht="15.75" customHeight="1">
      <c r="A625" s="47"/>
      <c r="B625" s="35"/>
      <c r="E625" s="48"/>
      <c r="K625" s="49"/>
    </row>
    <row r="626" ht="15.75" customHeight="1">
      <c r="A626" s="47"/>
      <c r="B626" s="35"/>
      <c r="E626" s="48"/>
      <c r="K626" s="49"/>
    </row>
    <row r="627" ht="15.75" customHeight="1">
      <c r="A627" s="47"/>
      <c r="B627" s="35"/>
      <c r="E627" s="48"/>
      <c r="K627" s="49"/>
    </row>
    <row r="628" ht="15.75" customHeight="1">
      <c r="A628" s="47"/>
      <c r="B628" s="35"/>
      <c r="E628" s="48"/>
      <c r="K628" s="49"/>
    </row>
    <row r="629" ht="15.75" customHeight="1">
      <c r="A629" s="47"/>
      <c r="B629" s="35"/>
      <c r="E629" s="48"/>
      <c r="K629" s="49"/>
    </row>
    <row r="630" ht="15.75" customHeight="1">
      <c r="A630" s="47"/>
      <c r="B630" s="35"/>
      <c r="E630" s="48"/>
      <c r="K630" s="49"/>
    </row>
    <row r="631" ht="15.75" customHeight="1">
      <c r="A631" s="47"/>
      <c r="B631" s="35"/>
      <c r="E631" s="48"/>
      <c r="K631" s="49"/>
    </row>
    <row r="632" ht="15.75" customHeight="1">
      <c r="A632" s="47"/>
      <c r="B632" s="35"/>
      <c r="E632" s="48"/>
      <c r="K632" s="49"/>
    </row>
    <row r="633" ht="15.75" customHeight="1">
      <c r="A633" s="47"/>
      <c r="B633" s="35"/>
      <c r="E633" s="48"/>
      <c r="K633" s="49"/>
    </row>
    <row r="634" ht="15.75" customHeight="1">
      <c r="A634" s="47"/>
      <c r="B634" s="35"/>
      <c r="E634" s="48"/>
      <c r="K634" s="49"/>
    </row>
    <row r="635" ht="15.75" customHeight="1">
      <c r="A635" s="47"/>
      <c r="B635" s="35"/>
      <c r="E635" s="48"/>
      <c r="K635" s="49"/>
    </row>
    <row r="636" ht="15.75" customHeight="1">
      <c r="A636" s="47"/>
      <c r="B636" s="35"/>
      <c r="E636" s="48"/>
      <c r="K636" s="49"/>
    </row>
    <row r="637" ht="15.75" customHeight="1">
      <c r="A637" s="47"/>
      <c r="B637" s="35"/>
      <c r="E637" s="48"/>
      <c r="K637" s="49"/>
    </row>
    <row r="638" ht="15.75" customHeight="1">
      <c r="A638" s="47"/>
      <c r="B638" s="35"/>
      <c r="E638" s="48"/>
      <c r="K638" s="49"/>
    </row>
    <row r="639" ht="15.75" customHeight="1">
      <c r="A639" s="47"/>
      <c r="B639" s="35"/>
      <c r="E639" s="48"/>
      <c r="K639" s="49"/>
    </row>
    <row r="640" ht="15.75" customHeight="1">
      <c r="A640" s="47"/>
      <c r="B640" s="35"/>
      <c r="E640" s="48"/>
      <c r="K640" s="49"/>
    </row>
    <row r="641" ht="15.75" customHeight="1">
      <c r="A641" s="47"/>
      <c r="B641" s="35"/>
      <c r="E641" s="48"/>
      <c r="K641" s="49"/>
    </row>
    <row r="642" ht="15.75" customHeight="1">
      <c r="A642" s="47"/>
      <c r="B642" s="35"/>
      <c r="E642" s="48"/>
      <c r="K642" s="49"/>
    </row>
    <row r="643" ht="15.75" customHeight="1">
      <c r="A643" s="47"/>
      <c r="B643" s="35"/>
      <c r="E643" s="48"/>
      <c r="K643" s="49"/>
    </row>
    <row r="644" ht="15.75" customHeight="1">
      <c r="A644" s="47"/>
      <c r="B644" s="35"/>
      <c r="E644" s="48"/>
      <c r="K644" s="49"/>
    </row>
    <row r="645" ht="15.75" customHeight="1">
      <c r="A645" s="47"/>
      <c r="B645" s="35"/>
      <c r="E645" s="48"/>
      <c r="K645" s="49"/>
    </row>
    <row r="646" ht="15.75" customHeight="1">
      <c r="A646" s="47"/>
      <c r="B646" s="35"/>
      <c r="E646" s="48"/>
      <c r="K646" s="49"/>
    </row>
    <row r="647" ht="15.75" customHeight="1">
      <c r="A647" s="47"/>
      <c r="B647" s="35"/>
      <c r="E647" s="48"/>
      <c r="K647" s="49"/>
    </row>
    <row r="648" ht="15.75" customHeight="1">
      <c r="A648" s="47"/>
      <c r="B648" s="35"/>
      <c r="E648" s="48"/>
      <c r="K648" s="49"/>
    </row>
    <row r="649" ht="15.75" customHeight="1">
      <c r="A649" s="47"/>
      <c r="B649" s="35"/>
      <c r="E649" s="48"/>
      <c r="K649" s="49"/>
    </row>
    <row r="650" ht="15.75" customHeight="1">
      <c r="A650" s="47"/>
      <c r="B650" s="35"/>
      <c r="E650" s="48"/>
      <c r="K650" s="49"/>
    </row>
    <row r="651" ht="15.75" customHeight="1">
      <c r="A651" s="47"/>
      <c r="B651" s="35"/>
      <c r="E651" s="48"/>
      <c r="K651" s="49"/>
    </row>
    <row r="652" ht="15.75" customHeight="1">
      <c r="A652" s="47"/>
      <c r="B652" s="35"/>
      <c r="E652" s="48"/>
      <c r="K652" s="49"/>
    </row>
    <row r="653" ht="15.75" customHeight="1">
      <c r="A653" s="47"/>
      <c r="B653" s="35"/>
      <c r="E653" s="48"/>
      <c r="K653" s="49"/>
    </row>
    <row r="654" ht="15.75" customHeight="1">
      <c r="A654" s="47"/>
      <c r="B654" s="35"/>
      <c r="E654" s="48"/>
      <c r="K654" s="49"/>
    </row>
    <row r="655" ht="15.75" customHeight="1">
      <c r="A655" s="47"/>
      <c r="B655" s="35"/>
      <c r="E655" s="48"/>
      <c r="K655" s="49"/>
    </row>
    <row r="656" ht="15.75" customHeight="1">
      <c r="A656" s="47"/>
      <c r="B656" s="35"/>
      <c r="E656" s="48"/>
      <c r="K656" s="49"/>
    </row>
    <row r="657" ht="15.75" customHeight="1">
      <c r="A657" s="47"/>
      <c r="B657" s="35"/>
      <c r="E657" s="48"/>
      <c r="K657" s="49"/>
    </row>
    <row r="658" ht="15.75" customHeight="1">
      <c r="A658" s="47"/>
      <c r="B658" s="35"/>
      <c r="E658" s="48"/>
      <c r="K658" s="49"/>
    </row>
    <row r="659" ht="15.75" customHeight="1">
      <c r="A659" s="47"/>
      <c r="B659" s="35"/>
      <c r="E659" s="48"/>
      <c r="K659" s="49"/>
    </row>
    <row r="660" ht="15.75" customHeight="1">
      <c r="A660" s="47"/>
      <c r="B660" s="35"/>
      <c r="E660" s="48"/>
      <c r="K660" s="49"/>
    </row>
    <row r="661" ht="15.75" customHeight="1">
      <c r="A661" s="47"/>
      <c r="B661" s="35"/>
      <c r="E661" s="48"/>
      <c r="K661" s="49"/>
    </row>
    <row r="662" ht="15.75" customHeight="1">
      <c r="A662" s="47"/>
      <c r="B662" s="35"/>
      <c r="E662" s="48"/>
      <c r="K662" s="49"/>
    </row>
    <row r="663" ht="15.75" customHeight="1">
      <c r="A663" s="47"/>
      <c r="B663" s="35"/>
      <c r="E663" s="48"/>
      <c r="K663" s="49"/>
    </row>
    <row r="664" ht="15.75" customHeight="1">
      <c r="A664" s="47"/>
      <c r="B664" s="35"/>
      <c r="E664" s="48"/>
      <c r="K664" s="49"/>
    </row>
    <row r="665" ht="15.75" customHeight="1">
      <c r="A665" s="47"/>
      <c r="B665" s="35"/>
      <c r="E665" s="48"/>
      <c r="K665" s="49"/>
    </row>
    <row r="666" ht="15.75" customHeight="1">
      <c r="A666" s="47"/>
      <c r="B666" s="35"/>
      <c r="E666" s="48"/>
      <c r="K666" s="49"/>
    </row>
    <row r="667" ht="15.75" customHeight="1">
      <c r="A667" s="47"/>
      <c r="B667" s="35"/>
      <c r="E667" s="48"/>
      <c r="K667" s="49"/>
    </row>
    <row r="668" ht="15.75" customHeight="1">
      <c r="A668" s="47"/>
      <c r="B668" s="35"/>
      <c r="E668" s="48"/>
      <c r="K668" s="49"/>
    </row>
    <row r="669" ht="15.75" customHeight="1">
      <c r="A669" s="47"/>
      <c r="B669" s="35"/>
      <c r="E669" s="48"/>
      <c r="K669" s="49"/>
    </row>
    <row r="670" ht="15.75" customHeight="1">
      <c r="A670" s="47"/>
      <c r="B670" s="35"/>
      <c r="E670" s="48"/>
      <c r="K670" s="49"/>
    </row>
    <row r="671" ht="15.75" customHeight="1">
      <c r="A671" s="47"/>
      <c r="B671" s="35"/>
      <c r="E671" s="48"/>
      <c r="K671" s="49"/>
    </row>
    <row r="672" ht="15.75" customHeight="1">
      <c r="A672" s="47"/>
      <c r="B672" s="35"/>
      <c r="E672" s="48"/>
      <c r="K672" s="49"/>
    </row>
    <row r="673" ht="15.75" customHeight="1">
      <c r="A673" s="47"/>
      <c r="B673" s="35"/>
      <c r="E673" s="48"/>
      <c r="K673" s="49"/>
    </row>
    <row r="674" ht="15.75" customHeight="1">
      <c r="A674" s="47"/>
      <c r="B674" s="35"/>
      <c r="E674" s="48"/>
      <c r="K674" s="49"/>
    </row>
    <row r="675" ht="15.75" customHeight="1">
      <c r="A675" s="47"/>
      <c r="B675" s="35"/>
      <c r="E675" s="48"/>
      <c r="K675" s="49"/>
    </row>
    <row r="676" ht="15.75" customHeight="1">
      <c r="A676" s="47"/>
      <c r="B676" s="35"/>
      <c r="E676" s="48"/>
      <c r="K676" s="49"/>
    </row>
    <row r="677" ht="15.75" customHeight="1">
      <c r="A677" s="47"/>
      <c r="B677" s="35"/>
      <c r="E677" s="48"/>
      <c r="K677" s="49"/>
    </row>
    <row r="678" ht="15.75" customHeight="1">
      <c r="A678" s="47"/>
      <c r="B678" s="35"/>
      <c r="E678" s="48"/>
      <c r="K678" s="49"/>
    </row>
    <row r="679" ht="15.75" customHeight="1">
      <c r="A679" s="47"/>
      <c r="B679" s="35"/>
      <c r="E679" s="48"/>
      <c r="K679" s="49"/>
    </row>
    <row r="680" ht="15.75" customHeight="1">
      <c r="A680" s="47"/>
      <c r="B680" s="35"/>
      <c r="E680" s="48"/>
      <c r="K680" s="49"/>
    </row>
    <row r="681" ht="15.75" customHeight="1">
      <c r="A681" s="47"/>
      <c r="B681" s="35"/>
      <c r="E681" s="48"/>
      <c r="K681" s="49"/>
    </row>
    <row r="682" ht="15.75" customHeight="1">
      <c r="A682" s="47"/>
      <c r="B682" s="35"/>
      <c r="E682" s="48"/>
      <c r="K682" s="49"/>
    </row>
    <row r="683" ht="15.75" customHeight="1">
      <c r="A683" s="47"/>
      <c r="B683" s="35"/>
      <c r="E683" s="48"/>
      <c r="K683" s="49"/>
    </row>
    <row r="684" ht="15.75" customHeight="1">
      <c r="A684" s="47"/>
      <c r="B684" s="35"/>
      <c r="E684" s="48"/>
      <c r="K684" s="49"/>
    </row>
    <row r="685" ht="15.75" customHeight="1">
      <c r="A685" s="47"/>
      <c r="B685" s="35"/>
      <c r="E685" s="48"/>
      <c r="K685" s="49"/>
    </row>
    <row r="686" ht="15.75" customHeight="1">
      <c r="A686" s="47"/>
      <c r="B686" s="35"/>
      <c r="E686" s="48"/>
      <c r="K686" s="49"/>
    </row>
    <row r="687" ht="15.75" customHeight="1">
      <c r="A687" s="47"/>
      <c r="B687" s="35"/>
      <c r="E687" s="48"/>
      <c r="K687" s="49"/>
    </row>
    <row r="688" ht="15.75" customHeight="1">
      <c r="A688" s="47"/>
      <c r="B688" s="35"/>
      <c r="E688" s="48"/>
      <c r="K688" s="49"/>
    </row>
    <row r="689" ht="15.75" customHeight="1">
      <c r="A689" s="47"/>
      <c r="B689" s="35"/>
      <c r="E689" s="48"/>
      <c r="K689" s="49"/>
    </row>
    <row r="690" ht="15.75" customHeight="1">
      <c r="A690" s="47"/>
      <c r="B690" s="35"/>
      <c r="E690" s="48"/>
      <c r="K690" s="49"/>
    </row>
    <row r="691" ht="15.75" customHeight="1">
      <c r="A691" s="47"/>
      <c r="B691" s="35"/>
      <c r="E691" s="48"/>
      <c r="K691" s="49"/>
    </row>
    <row r="692" ht="15.75" customHeight="1">
      <c r="A692" s="47"/>
      <c r="B692" s="35"/>
      <c r="E692" s="48"/>
      <c r="K692" s="49"/>
    </row>
    <row r="693" ht="15.75" customHeight="1">
      <c r="A693" s="47"/>
      <c r="B693" s="35"/>
      <c r="E693" s="48"/>
      <c r="K693" s="49"/>
    </row>
    <row r="694" ht="15.75" customHeight="1">
      <c r="A694" s="47"/>
      <c r="B694" s="35"/>
      <c r="E694" s="48"/>
      <c r="K694" s="49"/>
    </row>
    <row r="695" ht="15.75" customHeight="1">
      <c r="A695" s="47"/>
      <c r="B695" s="35"/>
      <c r="E695" s="48"/>
      <c r="K695" s="49"/>
    </row>
    <row r="696" ht="15.75" customHeight="1">
      <c r="A696" s="47"/>
      <c r="B696" s="35"/>
      <c r="E696" s="48"/>
      <c r="K696" s="49"/>
    </row>
    <row r="697" ht="15.75" customHeight="1">
      <c r="A697" s="47"/>
      <c r="B697" s="35"/>
      <c r="E697" s="48"/>
      <c r="K697" s="49"/>
    </row>
    <row r="698" ht="15.75" customHeight="1">
      <c r="A698" s="47"/>
      <c r="B698" s="35"/>
      <c r="E698" s="48"/>
      <c r="K698" s="49"/>
    </row>
    <row r="699" ht="15.75" customHeight="1">
      <c r="A699" s="47"/>
      <c r="B699" s="35"/>
      <c r="E699" s="48"/>
      <c r="K699" s="49"/>
    </row>
    <row r="700" ht="15.75" customHeight="1">
      <c r="A700" s="47"/>
      <c r="B700" s="35"/>
      <c r="E700" s="48"/>
      <c r="K700" s="49"/>
    </row>
    <row r="701" ht="15.75" customHeight="1">
      <c r="A701" s="47"/>
      <c r="B701" s="35"/>
      <c r="E701" s="48"/>
      <c r="K701" s="49"/>
    </row>
    <row r="702" ht="15.75" customHeight="1">
      <c r="A702" s="47"/>
      <c r="B702" s="35"/>
      <c r="E702" s="48"/>
      <c r="K702" s="49"/>
    </row>
    <row r="703" ht="15.75" customHeight="1">
      <c r="A703" s="47"/>
      <c r="B703" s="35"/>
      <c r="E703" s="48"/>
      <c r="K703" s="49"/>
    </row>
    <row r="704" ht="15.75" customHeight="1">
      <c r="A704" s="47"/>
      <c r="B704" s="35"/>
      <c r="E704" s="48"/>
      <c r="K704" s="49"/>
    </row>
    <row r="705" ht="15.75" customHeight="1">
      <c r="A705" s="47"/>
      <c r="B705" s="35"/>
      <c r="E705" s="48"/>
      <c r="K705" s="49"/>
    </row>
    <row r="706" ht="15.75" customHeight="1">
      <c r="A706" s="47"/>
      <c r="B706" s="35"/>
      <c r="E706" s="48"/>
      <c r="K706" s="49"/>
    </row>
    <row r="707" ht="15.75" customHeight="1">
      <c r="A707" s="47"/>
      <c r="B707" s="35"/>
      <c r="E707" s="48"/>
      <c r="K707" s="49"/>
    </row>
    <row r="708" ht="15.75" customHeight="1">
      <c r="A708" s="47"/>
      <c r="B708" s="35"/>
      <c r="E708" s="48"/>
      <c r="K708" s="49"/>
    </row>
    <row r="709" ht="15.75" customHeight="1">
      <c r="A709" s="47"/>
      <c r="B709" s="35"/>
      <c r="E709" s="48"/>
      <c r="K709" s="49"/>
    </row>
    <row r="710" ht="15.75" customHeight="1">
      <c r="A710" s="47"/>
      <c r="B710" s="35"/>
      <c r="E710" s="48"/>
      <c r="K710" s="49"/>
    </row>
    <row r="711" ht="15.75" customHeight="1">
      <c r="A711" s="47"/>
      <c r="B711" s="35"/>
      <c r="E711" s="48"/>
      <c r="K711" s="49"/>
    </row>
    <row r="712" ht="15.75" customHeight="1">
      <c r="A712" s="47"/>
      <c r="B712" s="35"/>
      <c r="E712" s="48"/>
      <c r="K712" s="49"/>
    </row>
    <row r="713" ht="15.75" customHeight="1">
      <c r="A713" s="47"/>
      <c r="B713" s="35"/>
      <c r="E713" s="48"/>
      <c r="K713" s="49"/>
    </row>
    <row r="714" ht="15.75" customHeight="1">
      <c r="A714" s="47"/>
      <c r="B714" s="35"/>
      <c r="E714" s="48"/>
      <c r="K714" s="49"/>
    </row>
    <row r="715" ht="15.75" customHeight="1">
      <c r="A715" s="47"/>
      <c r="B715" s="35"/>
      <c r="E715" s="48"/>
      <c r="K715" s="49"/>
    </row>
    <row r="716" ht="15.75" customHeight="1">
      <c r="A716" s="47"/>
      <c r="B716" s="35"/>
      <c r="E716" s="48"/>
      <c r="K716" s="49"/>
    </row>
    <row r="717" ht="15.75" customHeight="1">
      <c r="A717" s="47"/>
      <c r="B717" s="35"/>
      <c r="E717" s="48"/>
      <c r="K717" s="49"/>
    </row>
    <row r="718" ht="15.75" customHeight="1">
      <c r="A718" s="47"/>
      <c r="B718" s="35"/>
      <c r="E718" s="48"/>
      <c r="K718" s="49"/>
    </row>
    <row r="719" ht="15.75" customHeight="1">
      <c r="A719" s="47"/>
      <c r="B719" s="35"/>
      <c r="E719" s="48"/>
      <c r="K719" s="49"/>
    </row>
    <row r="720" ht="15.75" customHeight="1">
      <c r="A720" s="47"/>
      <c r="B720" s="35"/>
      <c r="E720" s="48"/>
      <c r="K720" s="49"/>
    </row>
    <row r="721" ht="15.75" customHeight="1">
      <c r="A721" s="47"/>
      <c r="B721" s="35"/>
      <c r="E721" s="48"/>
      <c r="K721" s="49"/>
    </row>
    <row r="722" ht="15.75" customHeight="1">
      <c r="A722" s="47"/>
      <c r="B722" s="35"/>
      <c r="E722" s="48"/>
      <c r="K722" s="49"/>
    </row>
    <row r="723" ht="15.75" customHeight="1">
      <c r="A723" s="47"/>
      <c r="B723" s="35"/>
      <c r="E723" s="48"/>
      <c r="K723" s="49"/>
    </row>
    <row r="724" ht="15.75" customHeight="1">
      <c r="A724" s="47"/>
      <c r="B724" s="35"/>
      <c r="E724" s="48"/>
      <c r="K724" s="49"/>
    </row>
    <row r="725" ht="15.75" customHeight="1">
      <c r="A725" s="47"/>
      <c r="B725" s="35"/>
      <c r="E725" s="48"/>
      <c r="K725" s="49"/>
    </row>
    <row r="726" ht="15.75" customHeight="1">
      <c r="A726" s="47"/>
      <c r="B726" s="35"/>
      <c r="E726" s="48"/>
      <c r="K726" s="49"/>
    </row>
    <row r="727" ht="15.75" customHeight="1">
      <c r="A727" s="47"/>
      <c r="B727" s="35"/>
      <c r="E727" s="48"/>
      <c r="K727" s="49"/>
    </row>
    <row r="728" ht="15.75" customHeight="1">
      <c r="A728" s="47"/>
      <c r="B728" s="35"/>
      <c r="E728" s="48"/>
      <c r="K728" s="49"/>
    </row>
    <row r="729" ht="15.75" customHeight="1">
      <c r="A729" s="47"/>
      <c r="B729" s="35"/>
      <c r="E729" s="48"/>
      <c r="K729" s="49"/>
    </row>
    <row r="730" ht="15.75" customHeight="1">
      <c r="A730" s="47"/>
      <c r="B730" s="35"/>
      <c r="E730" s="48"/>
      <c r="K730" s="49"/>
    </row>
    <row r="731" ht="15.75" customHeight="1">
      <c r="A731" s="47"/>
      <c r="B731" s="35"/>
      <c r="E731" s="48"/>
      <c r="K731" s="49"/>
    </row>
    <row r="732" ht="15.75" customHeight="1">
      <c r="A732" s="47"/>
      <c r="B732" s="35"/>
      <c r="E732" s="48"/>
      <c r="K732" s="49"/>
    </row>
    <row r="733" ht="15.75" customHeight="1">
      <c r="A733" s="47"/>
      <c r="B733" s="35"/>
      <c r="E733" s="48"/>
      <c r="K733" s="49"/>
    </row>
    <row r="734" ht="15.75" customHeight="1">
      <c r="A734" s="47"/>
      <c r="B734" s="35"/>
      <c r="E734" s="48"/>
      <c r="K734" s="49"/>
    </row>
    <row r="735" ht="15.75" customHeight="1">
      <c r="A735" s="47"/>
      <c r="B735" s="35"/>
      <c r="E735" s="48"/>
      <c r="K735" s="49"/>
    </row>
    <row r="736" ht="15.75" customHeight="1">
      <c r="A736" s="47"/>
      <c r="B736" s="35"/>
      <c r="E736" s="48"/>
      <c r="K736" s="49"/>
    </row>
    <row r="737" ht="15.75" customHeight="1">
      <c r="A737" s="47"/>
      <c r="B737" s="35"/>
      <c r="E737" s="48"/>
      <c r="K737" s="49"/>
    </row>
    <row r="738" ht="15.75" customHeight="1">
      <c r="A738" s="47"/>
      <c r="B738" s="35"/>
      <c r="E738" s="48"/>
      <c r="K738" s="49"/>
    </row>
    <row r="739" ht="15.75" customHeight="1">
      <c r="A739" s="47"/>
      <c r="B739" s="35"/>
      <c r="E739" s="48"/>
      <c r="K739" s="49"/>
    </row>
    <row r="740" ht="15.75" customHeight="1">
      <c r="A740" s="47"/>
      <c r="B740" s="35"/>
      <c r="E740" s="48"/>
      <c r="K740" s="49"/>
    </row>
    <row r="741" ht="15.75" customHeight="1">
      <c r="A741" s="47"/>
      <c r="B741" s="35"/>
      <c r="E741" s="48"/>
      <c r="K741" s="49"/>
    </row>
    <row r="742" ht="15.75" customHeight="1">
      <c r="A742" s="47"/>
      <c r="B742" s="35"/>
      <c r="E742" s="48"/>
      <c r="K742" s="49"/>
    </row>
    <row r="743" ht="15.75" customHeight="1">
      <c r="A743" s="47"/>
      <c r="B743" s="35"/>
      <c r="E743" s="48"/>
      <c r="K743" s="49"/>
    </row>
    <row r="744" ht="15.75" customHeight="1">
      <c r="A744" s="47"/>
      <c r="B744" s="35"/>
      <c r="E744" s="48"/>
      <c r="K744" s="49"/>
    </row>
    <row r="745" ht="15.75" customHeight="1">
      <c r="A745" s="47"/>
      <c r="B745" s="35"/>
      <c r="E745" s="48"/>
      <c r="K745" s="49"/>
    </row>
    <row r="746" ht="15.75" customHeight="1">
      <c r="A746" s="47"/>
      <c r="B746" s="35"/>
      <c r="E746" s="48"/>
      <c r="K746" s="49"/>
    </row>
    <row r="747" ht="15.75" customHeight="1">
      <c r="A747" s="47"/>
      <c r="B747" s="35"/>
      <c r="E747" s="48"/>
      <c r="K747" s="49"/>
    </row>
    <row r="748" ht="15.75" customHeight="1">
      <c r="A748" s="47"/>
      <c r="B748" s="35"/>
      <c r="E748" s="48"/>
      <c r="K748" s="49"/>
    </row>
    <row r="749" ht="15.75" customHeight="1">
      <c r="A749" s="47"/>
      <c r="B749" s="35"/>
      <c r="E749" s="48"/>
      <c r="K749" s="49"/>
    </row>
    <row r="750" ht="15.75" customHeight="1">
      <c r="A750" s="47"/>
      <c r="B750" s="35"/>
      <c r="E750" s="48"/>
      <c r="K750" s="49"/>
    </row>
    <row r="751" ht="15.75" customHeight="1">
      <c r="A751" s="47"/>
      <c r="B751" s="35"/>
      <c r="E751" s="48"/>
      <c r="K751" s="49"/>
    </row>
    <row r="752" ht="15.75" customHeight="1">
      <c r="A752" s="47"/>
      <c r="B752" s="35"/>
      <c r="E752" s="48"/>
      <c r="K752" s="49"/>
    </row>
    <row r="753" ht="15.75" customHeight="1">
      <c r="A753" s="47"/>
      <c r="B753" s="35"/>
      <c r="E753" s="48"/>
      <c r="K753" s="49"/>
    </row>
    <row r="754" ht="15.75" customHeight="1">
      <c r="A754" s="47"/>
      <c r="B754" s="35"/>
      <c r="E754" s="48"/>
      <c r="K754" s="49"/>
    </row>
    <row r="755" ht="15.75" customHeight="1">
      <c r="A755" s="47"/>
      <c r="B755" s="35"/>
      <c r="E755" s="48"/>
      <c r="K755" s="49"/>
    </row>
    <row r="756" ht="15.75" customHeight="1">
      <c r="A756" s="47"/>
      <c r="B756" s="35"/>
      <c r="E756" s="48"/>
      <c r="K756" s="49"/>
    </row>
    <row r="757" ht="15.75" customHeight="1">
      <c r="A757" s="47"/>
      <c r="B757" s="35"/>
      <c r="E757" s="48"/>
      <c r="K757" s="49"/>
    </row>
    <row r="758" ht="15.75" customHeight="1">
      <c r="A758" s="47"/>
      <c r="B758" s="35"/>
      <c r="E758" s="48"/>
      <c r="K758" s="49"/>
    </row>
    <row r="759" ht="15.75" customHeight="1">
      <c r="A759" s="47"/>
      <c r="B759" s="35"/>
      <c r="E759" s="48"/>
      <c r="K759" s="49"/>
    </row>
    <row r="760" ht="15.75" customHeight="1">
      <c r="A760" s="47"/>
      <c r="B760" s="35"/>
      <c r="E760" s="48"/>
      <c r="K760" s="49"/>
    </row>
    <row r="761" ht="15.75" customHeight="1">
      <c r="A761" s="47"/>
      <c r="B761" s="35"/>
      <c r="E761" s="48"/>
      <c r="K761" s="49"/>
    </row>
    <row r="762" ht="15.75" customHeight="1">
      <c r="A762" s="47"/>
      <c r="B762" s="35"/>
      <c r="E762" s="48"/>
      <c r="K762" s="49"/>
    </row>
    <row r="763" ht="15.75" customHeight="1">
      <c r="A763" s="47"/>
      <c r="B763" s="35"/>
      <c r="E763" s="48"/>
      <c r="K763" s="49"/>
    </row>
    <row r="764" ht="15.75" customHeight="1">
      <c r="A764" s="47"/>
      <c r="B764" s="35"/>
      <c r="E764" s="48"/>
      <c r="K764" s="49"/>
    </row>
    <row r="765" ht="15.75" customHeight="1">
      <c r="A765" s="47"/>
      <c r="B765" s="35"/>
      <c r="E765" s="48"/>
      <c r="K765" s="49"/>
    </row>
    <row r="766" ht="15.75" customHeight="1">
      <c r="A766" s="47"/>
      <c r="B766" s="35"/>
      <c r="E766" s="48"/>
      <c r="K766" s="49"/>
    </row>
    <row r="767" ht="15.75" customHeight="1">
      <c r="A767" s="47"/>
      <c r="B767" s="35"/>
      <c r="E767" s="48"/>
      <c r="K767" s="49"/>
    </row>
    <row r="768" ht="15.75" customHeight="1">
      <c r="A768" s="47"/>
      <c r="B768" s="35"/>
      <c r="E768" s="48"/>
      <c r="K768" s="49"/>
    </row>
    <row r="769" ht="15.75" customHeight="1">
      <c r="A769" s="47"/>
      <c r="B769" s="35"/>
      <c r="E769" s="48"/>
      <c r="K769" s="49"/>
    </row>
    <row r="770" ht="15.75" customHeight="1">
      <c r="A770" s="47"/>
      <c r="B770" s="35"/>
      <c r="E770" s="48"/>
      <c r="K770" s="49"/>
    </row>
    <row r="771" ht="15.75" customHeight="1">
      <c r="A771" s="47"/>
      <c r="B771" s="35"/>
      <c r="E771" s="48"/>
      <c r="K771" s="49"/>
    </row>
    <row r="772" ht="15.75" customHeight="1">
      <c r="A772" s="47"/>
      <c r="B772" s="35"/>
      <c r="E772" s="48"/>
      <c r="K772" s="49"/>
    </row>
    <row r="773" ht="15.75" customHeight="1">
      <c r="A773" s="47"/>
      <c r="B773" s="35"/>
      <c r="E773" s="48"/>
      <c r="K773" s="49"/>
    </row>
    <row r="774" ht="15.75" customHeight="1">
      <c r="A774" s="47"/>
      <c r="B774" s="35"/>
      <c r="E774" s="48"/>
      <c r="K774" s="49"/>
    </row>
    <row r="775" ht="15.75" customHeight="1">
      <c r="A775" s="47"/>
      <c r="B775" s="35"/>
      <c r="E775" s="48"/>
      <c r="K775" s="49"/>
    </row>
    <row r="776" ht="15.75" customHeight="1">
      <c r="A776" s="47"/>
      <c r="B776" s="35"/>
      <c r="E776" s="48"/>
      <c r="K776" s="49"/>
    </row>
    <row r="777" ht="15.75" customHeight="1">
      <c r="A777" s="47"/>
      <c r="B777" s="35"/>
      <c r="E777" s="48"/>
      <c r="K777" s="49"/>
    </row>
    <row r="778" ht="15.75" customHeight="1">
      <c r="A778" s="47"/>
      <c r="B778" s="35"/>
      <c r="E778" s="48"/>
      <c r="K778" s="49"/>
    </row>
    <row r="779" ht="15.75" customHeight="1">
      <c r="A779" s="47"/>
      <c r="B779" s="35"/>
      <c r="E779" s="48"/>
      <c r="K779" s="49"/>
    </row>
    <row r="780" ht="15.75" customHeight="1">
      <c r="A780" s="47"/>
      <c r="B780" s="35"/>
      <c r="E780" s="48"/>
      <c r="K780" s="49"/>
    </row>
    <row r="781" ht="15.75" customHeight="1">
      <c r="A781" s="47"/>
      <c r="B781" s="35"/>
      <c r="E781" s="48"/>
      <c r="K781" s="49"/>
    </row>
    <row r="782" ht="15.75" customHeight="1">
      <c r="A782" s="47"/>
      <c r="B782" s="35"/>
      <c r="E782" s="48"/>
      <c r="K782" s="49"/>
    </row>
    <row r="783" ht="15.75" customHeight="1">
      <c r="A783" s="47"/>
      <c r="B783" s="35"/>
      <c r="E783" s="48"/>
      <c r="K783" s="49"/>
    </row>
    <row r="784" ht="15.75" customHeight="1">
      <c r="A784" s="47"/>
      <c r="B784" s="35"/>
      <c r="E784" s="48"/>
      <c r="K784" s="49"/>
    </row>
    <row r="785" ht="15.75" customHeight="1">
      <c r="A785" s="47"/>
      <c r="B785" s="35"/>
      <c r="E785" s="48"/>
      <c r="K785" s="49"/>
    </row>
    <row r="786" ht="15.75" customHeight="1">
      <c r="A786" s="47"/>
      <c r="B786" s="35"/>
      <c r="E786" s="48"/>
      <c r="K786" s="49"/>
    </row>
    <row r="787" ht="15.75" customHeight="1">
      <c r="A787" s="47"/>
      <c r="B787" s="35"/>
      <c r="E787" s="48"/>
      <c r="K787" s="49"/>
    </row>
    <row r="788" ht="15.75" customHeight="1">
      <c r="A788" s="47"/>
      <c r="B788" s="35"/>
      <c r="E788" s="48"/>
      <c r="K788" s="49"/>
    </row>
    <row r="789" ht="15.75" customHeight="1">
      <c r="A789" s="47"/>
      <c r="B789" s="35"/>
      <c r="E789" s="48"/>
      <c r="K789" s="49"/>
    </row>
    <row r="790" ht="15.75" customHeight="1">
      <c r="A790" s="47"/>
      <c r="B790" s="35"/>
      <c r="E790" s="48"/>
      <c r="K790" s="49"/>
    </row>
    <row r="791" ht="15.75" customHeight="1">
      <c r="A791" s="47"/>
      <c r="B791" s="35"/>
      <c r="E791" s="48"/>
      <c r="K791" s="49"/>
    </row>
    <row r="792" ht="15.75" customHeight="1">
      <c r="A792" s="47"/>
      <c r="B792" s="35"/>
      <c r="E792" s="48"/>
      <c r="K792" s="49"/>
    </row>
    <row r="793" ht="15.75" customHeight="1">
      <c r="A793" s="47"/>
      <c r="B793" s="35"/>
      <c r="E793" s="48"/>
      <c r="K793" s="49"/>
    </row>
    <row r="794" ht="15.75" customHeight="1">
      <c r="A794" s="47"/>
      <c r="B794" s="35"/>
      <c r="E794" s="48"/>
      <c r="K794" s="49"/>
    </row>
    <row r="795" ht="15.75" customHeight="1">
      <c r="A795" s="47"/>
      <c r="B795" s="35"/>
      <c r="E795" s="48"/>
      <c r="K795" s="49"/>
    </row>
    <row r="796" ht="15.75" customHeight="1">
      <c r="A796" s="47"/>
      <c r="B796" s="35"/>
      <c r="E796" s="48"/>
      <c r="K796" s="49"/>
    </row>
    <row r="797" ht="15.75" customHeight="1">
      <c r="A797" s="47"/>
      <c r="B797" s="35"/>
      <c r="E797" s="48"/>
      <c r="K797" s="49"/>
    </row>
    <row r="798" ht="15.75" customHeight="1">
      <c r="A798" s="47"/>
      <c r="B798" s="35"/>
      <c r="E798" s="48"/>
      <c r="K798" s="49"/>
    </row>
    <row r="799" ht="15.75" customHeight="1">
      <c r="A799" s="47"/>
      <c r="B799" s="35"/>
      <c r="E799" s="48"/>
      <c r="K799" s="49"/>
    </row>
    <row r="800" ht="15.75" customHeight="1">
      <c r="A800" s="47"/>
      <c r="B800" s="35"/>
      <c r="E800" s="48"/>
      <c r="K800" s="49"/>
    </row>
    <row r="801" ht="15.75" customHeight="1">
      <c r="A801" s="47"/>
      <c r="B801" s="35"/>
      <c r="E801" s="48"/>
      <c r="K801" s="49"/>
    </row>
    <row r="802" ht="15.75" customHeight="1">
      <c r="A802" s="47"/>
      <c r="B802" s="35"/>
      <c r="E802" s="48"/>
      <c r="K802" s="49"/>
    </row>
    <row r="803" ht="15.75" customHeight="1">
      <c r="A803" s="47"/>
      <c r="B803" s="35"/>
      <c r="E803" s="48"/>
      <c r="K803" s="49"/>
    </row>
    <row r="804" ht="15.75" customHeight="1">
      <c r="A804" s="47"/>
      <c r="B804" s="35"/>
      <c r="E804" s="48"/>
      <c r="K804" s="49"/>
    </row>
    <row r="805" ht="15.75" customHeight="1">
      <c r="A805" s="47"/>
      <c r="B805" s="35"/>
      <c r="E805" s="48"/>
      <c r="K805" s="49"/>
    </row>
    <row r="806" ht="15.75" customHeight="1">
      <c r="A806" s="47"/>
      <c r="B806" s="35"/>
      <c r="E806" s="48"/>
      <c r="K806" s="49"/>
    </row>
    <row r="807" ht="15.75" customHeight="1">
      <c r="A807" s="47"/>
      <c r="B807" s="35"/>
      <c r="E807" s="48"/>
      <c r="K807" s="49"/>
    </row>
    <row r="808" ht="15.75" customHeight="1">
      <c r="A808" s="47"/>
      <c r="B808" s="35"/>
      <c r="E808" s="48"/>
      <c r="K808" s="49"/>
    </row>
    <row r="809" ht="15.75" customHeight="1">
      <c r="A809" s="47"/>
      <c r="B809" s="35"/>
      <c r="E809" s="48"/>
      <c r="K809" s="49"/>
    </row>
    <row r="810" ht="15.75" customHeight="1">
      <c r="A810" s="47"/>
      <c r="B810" s="35"/>
      <c r="E810" s="48"/>
      <c r="K810" s="49"/>
    </row>
    <row r="811" ht="15.75" customHeight="1">
      <c r="A811" s="47"/>
      <c r="B811" s="35"/>
      <c r="E811" s="48"/>
      <c r="K811" s="49"/>
    </row>
    <row r="812" ht="15.75" customHeight="1">
      <c r="A812" s="47"/>
      <c r="B812" s="35"/>
      <c r="E812" s="48"/>
      <c r="K812" s="49"/>
    </row>
    <row r="813" ht="15.75" customHeight="1">
      <c r="A813" s="47"/>
      <c r="B813" s="35"/>
      <c r="E813" s="48"/>
      <c r="K813" s="49"/>
    </row>
    <row r="814" ht="15.75" customHeight="1">
      <c r="A814" s="47"/>
      <c r="B814" s="35"/>
      <c r="E814" s="48"/>
      <c r="K814" s="49"/>
    </row>
    <row r="815" ht="15.75" customHeight="1">
      <c r="A815" s="47"/>
      <c r="B815" s="35"/>
      <c r="E815" s="48"/>
      <c r="K815" s="49"/>
    </row>
    <row r="816" ht="15.75" customHeight="1">
      <c r="A816" s="47"/>
      <c r="B816" s="35"/>
      <c r="E816" s="48"/>
      <c r="K816" s="49"/>
    </row>
    <row r="817" ht="15.75" customHeight="1">
      <c r="A817" s="47"/>
      <c r="B817" s="35"/>
      <c r="E817" s="48"/>
      <c r="K817" s="49"/>
    </row>
    <row r="818" ht="15.75" customHeight="1">
      <c r="A818" s="47"/>
      <c r="B818" s="35"/>
      <c r="E818" s="48"/>
      <c r="K818" s="49"/>
    </row>
    <row r="819" ht="15.75" customHeight="1">
      <c r="A819" s="47"/>
      <c r="B819" s="35"/>
      <c r="E819" s="48"/>
      <c r="K819" s="49"/>
    </row>
    <row r="820" ht="15.75" customHeight="1">
      <c r="A820" s="47"/>
      <c r="B820" s="35"/>
      <c r="E820" s="48"/>
      <c r="K820" s="49"/>
    </row>
    <row r="821" ht="15.75" customHeight="1">
      <c r="A821" s="47"/>
      <c r="B821" s="35"/>
      <c r="E821" s="48"/>
      <c r="K821" s="49"/>
    </row>
    <row r="822" ht="15.75" customHeight="1">
      <c r="A822" s="47"/>
      <c r="B822" s="35"/>
      <c r="E822" s="48"/>
      <c r="K822" s="49"/>
    </row>
    <row r="823" ht="15.75" customHeight="1">
      <c r="A823" s="47"/>
      <c r="B823" s="35"/>
      <c r="E823" s="48"/>
      <c r="K823" s="49"/>
    </row>
    <row r="824" ht="15.75" customHeight="1">
      <c r="A824" s="47"/>
      <c r="B824" s="35"/>
      <c r="E824" s="48"/>
      <c r="K824" s="49"/>
    </row>
    <row r="825" ht="15.75" customHeight="1">
      <c r="A825" s="47"/>
      <c r="B825" s="35"/>
      <c r="E825" s="48"/>
      <c r="K825" s="49"/>
    </row>
    <row r="826" ht="15.75" customHeight="1">
      <c r="A826" s="47"/>
      <c r="B826" s="35"/>
      <c r="E826" s="48"/>
      <c r="K826" s="49"/>
    </row>
    <row r="827" ht="15.75" customHeight="1">
      <c r="A827" s="47"/>
      <c r="B827" s="35"/>
      <c r="E827" s="48"/>
      <c r="K827" s="49"/>
    </row>
    <row r="828" ht="15.75" customHeight="1">
      <c r="A828" s="47"/>
      <c r="B828" s="35"/>
      <c r="E828" s="48"/>
      <c r="K828" s="49"/>
    </row>
    <row r="829" ht="15.75" customHeight="1">
      <c r="A829" s="47"/>
      <c r="B829" s="35"/>
      <c r="E829" s="48"/>
      <c r="K829" s="49"/>
    </row>
    <row r="830" ht="15.75" customHeight="1">
      <c r="A830" s="47"/>
      <c r="B830" s="35"/>
      <c r="E830" s="48"/>
      <c r="K830" s="49"/>
    </row>
    <row r="831" ht="15.75" customHeight="1">
      <c r="A831" s="47"/>
      <c r="B831" s="35"/>
      <c r="E831" s="48"/>
      <c r="K831" s="49"/>
    </row>
    <row r="832" ht="15.75" customHeight="1">
      <c r="A832" s="47"/>
      <c r="B832" s="35"/>
      <c r="E832" s="48"/>
      <c r="K832" s="49"/>
    </row>
    <row r="833" ht="15.75" customHeight="1">
      <c r="A833" s="47"/>
      <c r="B833" s="35"/>
      <c r="E833" s="48"/>
      <c r="K833" s="49"/>
    </row>
    <row r="834" ht="15.75" customHeight="1">
      <c r="A834" s="47"/>
      <c r="B834" s="35"/>
      <c r="E834" s="48"/>
      <c r="K834" s="49"/>
    </row>
    <row r="835" ht="15.75" customHeight="1">
      <c r="A835" s="47"/>
      <c r="B835" s="35"/>
      <c r="E835" s="48"/>
      <c r="K835" s="49"/>
    </row>
    <row r="836" ht="15.75" customHeight="1">
      <c r="A836" s="47"/>
      <c r="B836" s="35"/>
      <c r="E836" s="48"/>
      <c r="K836" s="49"/>
    </row>
    <row r="837" ht="15.75" customHeight="1">
      <c r="A837" s="47"/>
      <c r="B837" s="35"/>
      <c r="E837" s="48"/>
      <c r="K837" s="49"/>
    </row>
    <row r="838" ht="15.75" customHeight="1">
      <c r="A838" s="47"/>
      <c r="B838" s="35"/>
      <c r="E838" s="48"/>
      <c r="K838" s="49"/>
    </row>
    <row r="839" ht="15.75" customHeight="1">
      <c r="A839" s="47"/>
      <c r="B839" s="35"/>
      <c r="E839" s="48"/>
      <c r="K839" s="49"/>
    </row>
    <row r="840" ht="15.75" customHeight="1">
      <c r="A840" s="47"/>
      <c r="B840" s="35"/>
      <c r="E840" s="48"/>
      <c r="K840" s="49"/>
    </row>
    <row r="841" ht="15.75" customHeight="1">
      <c r="A841" s="47"/>
      <c r="B841" s="35"/>
      <c r="E841" s="48"/>
      <c r="K841" s="49"/>
    </row>
    <row r="842" ht="15.75" customHeight="1">
      <c r="A842" s="47"/>
      <c r="B842" s="35"/>
      <c r="E842" s="48"/>
      <c r="K842" s="49"/>
    </row>
    <row r="843" ht="15.75" customHeight="1">
      <c r="A843" s="47"/>
      <c r="B843" s="35"/>
      <c r="E843" s="48"/>
      <c r="K843" s="49"/>
    </row>
    <row r="844" ht="15.75" customHeight="1">
      <c r="A844" s="47"/>
      <c r="B844" s="35"/>
      <c r="E844" s="48"/>
      <c r="K844" s="49"/>
    </row>
    <row r="845" ht="15.75" customHeight="1">
      <c r="A845" s="47"/>
      <c r="B845" s="35"/>
      <c r="E845" s="48"/>
      <c r="K845" s="49"/>
    </row>
    <row r="846" ht="15.75" customHeight="1">
      <c r="A846" s="47"/>
      <c r="B846" s="35"/>
      <c r="E846" s="48"/>
      <c r="K846" s="49"/>
    </row>
    <row r="847" ht="15.75" customHeight="1">
      <c r="A847" s="47"/>
      <c r="B847" s="35"/>
      <c r="E847" s="48"/>
      <c r="K847" s="49"/>
    </row>
    <row r="848" ht="15.75" customHeight="1">
      <c r="A848" s="47"/>
      <c r="B848" s="35"/>
      <c r="E848" s="48"/>
      <c r="K848" s="49"/>
    </row>
    <row r="849" ht="15.75" customHeight="1">
      <c r="A849" s="47"/>
      <c r="B849" s="35"/>
      <c r="E849" s="48"/>
      <c r="K849" s="49"/>
    </row>
    <row r="850" ht="15.75" customHeight="1">
      <c r="A850" s="47"/>
      <c r="B850" s="35"/>
      <c r="E850" s="48"/>
      <c r="K850" s="49"/>
    </row>
    <row r="851" ht="15.75" customHeight="1">
      <c r="A851" s="47"/>
      <c r="B851" s="35"/>
      <c r="E851" s="48"/>
      <c r="K851" s="49"/>
    </row>
    <row r="852" ht="15.75" customHeight="1">
      <c r="A852" s="47"/>
      <c r="B852" s="35"/>
      <c r="E852" s="48"/>
      <c r="K852" s="49"/>
    </row>
    <row r="853" ht="15.75" customHeight="1">
      <c r="A853" s="47"/>
      <c r="B853" s="35"/>
      <c r="E853" s="48"/>
      <c r="K853" s="49"/>
    </row>
    <row r="854" ht="15.75" customHeight="1">
      <c r="A854" s="47"/>
      <c r="B854" s="35"/>
      <c r="E854" s="48"/>
      <c r="K854" s="49"/>
    </row>
    <row r="855" ht="15.75" customHeight="1">
      <c r="A855" s="47"/>
      <c r="B855" s="35"/>
      <c r="E855" s="48"/>
      <c r="K855" s="49"/>
    </row>
    <row r="856" ht="15.75" customHeight="1">
      <c r="A856" s="47"/>
      <c r="B856" s="35"/>
      <c r="E856" s="48"/>
      <c r="K856" s="49"/>
    </row>
    <row r="857" ht="15.75" customHeight="1">
      <c r="A857" s="47"/>
      <c r="B857" s="35"/>
      <c r="E857" s="48"/>
      <c r="K857" s="49"/>
    </row>
    <row r="858" ht="15.75" customHeight="1">
      <c r="A858" s="47"/>
      <c r="B858" s="35"/>
      <c r="E858" s="48"/>
      <c r="K858" s="49"/>
    </row>
    <row r="859" ht="15.75" customHeight="1">
      <c r="A859" s="47"/>
      <c r="B859" s="35"/>
      <c r="E859" s="48"/>
      <c r="K859" s="49"/>
    </row>
    <row r="860" ht="15.75" customHeight="1">
      <c r="A860" s="47"/>
      <c r="B860" s="35"/>
      <c r="E860" s="48"/>
      <c r="K860" s="49"/>
    </row>
    <row r="861" ht="15.75" customHeight="1">
      <c r="A861" s="47"/>
      <c r="B861" s="35"/>
      <c r="E861" s="48"/>
      <c r="K861" s="49"/>
    </row>
    <row r="862" ht="15.75" customHeight="1">
      <c r="A862" s="47"/>
      <c r="B862" s="35"/>
      <c r="E862" s="48"/>
      <c r="K862" s="49"/>
    </row>
    <row r="863" ht="15.75" customHeight="1">
      <c r="A863" s="47"/>
      <c r="B863" s="35"/>
      <c r="E863" s="48"/>
      <c r="K863" s="49"/>
    </row>
    <row r="864" ht="15.75" customHeight="1">
      <c r="A864" s="47"/>
      <c r="B864" s="35"/>
      <c r="E864" s="48"/>
      <c r="K864" s="49"/>
    </row>
    <row r="865" ht="15.75" customHeight="1">
      <c r="A865" s="47"/>
      <c r="B865" s="35"/>
      <c r="E865" s="48"/>
      <c r="K865" s="49"/>
    </row>
    <row r="866" ht="15.75" customHeight="1">
      <c r="A866" s="47"/>
      <c r="B866" s="35"/>
      <c r="E866" s="48"/>
      <c r="K866" s="49"/>
    </row>
    <row r="867" ht="15.75" customHeight="1">
      <c r="A867" s="47"/>
      <c r="B867" s="35"/>
      <c r="E867" s="48"/>
      <c r="K867" s="49"/>
    </row>
    <row r="868" ht="15.75" customHeight="1">
      <c r="A868" s="47"/>
      <c r="B868" s="35"/>
      <c r="E868" s="48"/>
      <c r="K868" s="49"/>
    </row>
    <row r="869" ht="15.75" customHeight="1">
      <c r="A869" s="47"/>
      <c r="B869" s="35"/>
      <c r="E869" s="48"/>
      <c r="K869" s="49"/>
    </row>
    <row r="870" ht="15.75" customHeight="1">
      <c r="A870" s="47"/>
      <c r="B870" s="35"/>
      <c r="E870" s="48"/>
      <c r="K870" s="49"/>
    </row>
    <row r="871" ht="15.75" customHeight="1">
      <c r="A871" s="47"/>
      <c r="B871" s="35"/>
      <c r="E871" s="48"/>
      <c r="K871" s="49"/>
    </row>
    <row r="872" ht="15.75" customHeight="1">
      <c r="A872" s="47"/>
      <c r="B872" s="35"/>
      <c r="E872" s="48"/>
      <c r="K872" s="49"/>
    </row>
    <row r="873" ht="15.75" customHeight="1">
      <c r="A873" s="47"/>
      <c r="B873" s="35"/>
      <c r="E873" s="48"/>
      <c r="K873" s="49"/>
    </row>
    <row r="874" ht="15.75" customHeight="1">
      <c r="A874" s="47"/>
      <c r="B874" s="35"/>
      <c r="E874" s="48"/>
      <c r="K874" s="49"/>
    </row>
    <row r="875" ht="15.75" customHeight="1">
      <c r="A875" s="47"/>
      <c r="B875" s="35"/>
      <c r="E875" s="48"/>
      <c r="K875" s="49"/>
    </row>
    <row r="876" ht="15.75" customHeight="1">
      <c r="A876" s="47"/>
      <c r="B876" s="35"/>
      <c r="E876" s="48"/>
      <c r="K876" s="49"/>
    </row>
    <row r="877" ht="15.75" customHeight="1">
      <c r="A877" s="47"/>
      <c r="B877" s="35"/>
      <c r="E877" s="48"/>
      <c r="K877" s="49"/>
    </row>
    <row r="878" ht="15.75" customHeight="1">
      <c r="A878" s="47"/>
      <c r="B878" s="35"/>
      <c r="E878" s="48"/>
      <c r="K878" s="49"/>
    </row>
    <row r="879" ht="15.75" customHeight="1">
      <c r="A879" s="47"/>
      <c r="B879" s="35"/>
      <c r="E879" s="48"/>
      <c r="K879" s="49"/>
    </row>
    <row r="880" ht="15.75" customHeight="1">
      <c r="A880" s="47"/>
      <c r="B880" s="35"/>
      <c r="E880" s="48"/>
      <c r="K880" s="49"/>
    </row>
    <row r="881" ht="15.75" customHeight="1">
      <c r="A881" s="47"/>
      <c r="B881" s="35"/>
      <c r="E881" s="48"/>
      <c r="K881" s="49"/>
    </row>
    <row r="882" ht="15.75" customHeight="1">
      <c r="A882" s="47"/>
      <c r="B882" s="35"/>
      <c r="E882" s="48"/>
      <c r="K882" s="49"/>
    </row>
    <row r="883" ht="15.75" customHeight="1">
      <c r="A883" s="47"/>
      <c r="B883" s="35"/>
      <c r="E883" s="48"/>
      <c r="K883" s="49"/>
    </row>
    <row r="884" ht="15.75" customHeight="1">
      <c r="A884" s="47"/>
      <c r="B884" s="35"/>
      <c r="E884" s="48"/>
      <c r="K884" s="49"/>
    </row>
    <row r="885" ht="15.75" customHeight="1">
      <c r="A885" s="47"/>
      <c r="B885" s="35"/>
      <c r="E885" s="48"/>
      <c r="K885" s="49"/>
    </row>
    <row r="886" ht="15.75" customHeight="1">
      <c r="A886" s="47"/>
      <c r="B886" s="35"/>
      <c r="E886" s="48"/>
      <c r="K886" s="49"/>
    </row>
    <row r="887" ht="15.75" customHeight="1">
      <c r="A887" s="47"/>
      <c r="B887" s="35"/>
      <c r="E887" s="48"/>
      <c r="K887" s="49"/>
    </row>
    <row r="888" ht="15.75" customHeight="1">
      <c r="A888" s="47"/>
      <c r="B888" s="35"/>
      <c r="E888" s="48"/>
      <c r="K888" s="49"/>
    </row>
    <row r="889" ht="15.75" customHeight="1">
      <c r="A889" s="47"/>
      <c r="B889" s="35"/>
      <c r="E889" s="48"/>
      <c r="K889" s="49"/>
    </row>
    <row r="890" ht="15.75" customHeight="1">
      <c r="A890" s="47"/>
      <c r="B890" s="35"/>
      <c r="E890" s="48"/>
      <c r="K890" s="49"/>
    </row>
    <row r="891" ht="15.75" customHeight="1">
      <c r="A891" s="47"/>
      <c r="B891" s="35"/>
      <c r="E891" s="48"/>
      <c r="K891" s="49"/>
    </row>
    <row r="892" ht="15.75" customHeight="1">
      <c r="A892" s="47"/>
      <c r="B892" s="35"/>
      <c r="E892" s="48"/>
      <c r="K892" s="49"/>
    </row>
    <row r="893" ht="15.75" customHeight="1">
      <c r="A893" s="47"/>
      <c r="B893" s="35"/>
      <c r="E893" s="48"/>
      <c r="K893" s="49"/>
    </row>
    <row r="894" ht="15.75" customHeight="1">
      <c r="A894" s="47"/>
      <c r="B894" s="35"/>
      <c r="E894" s="48"/>
      <c r="K894" s="49"/>
    </row>
    <row r="895" ht="15.75" customHeight="1">
      <c r="A895" s="47"/>
      <c r="B895" s="35"/>
      <c r="E895" s="48"/>
      <c r="K895" s="49"/>
    </row>
    <row r="896" ht="15.75" customHeight="1">
      <c r="A896" s="47"/>
      <c r="B896" s="35"/>
      <c r="E896" s="48"/>
      <c r="K896" s="49"/>
    </row>
    <row r="897" ht="15.75" customHeight="1">
      <c r="A897" s="47"/>
      <c r="B897" s="35"/>
      <c r="E897" s="48"/>
      <c r="K897" s="49"/>
    </row>
    <row r="898" ht="15.75" customHeight="1">
      <c r="A898" s="47"/>
      <c r="B898" s="35"/>
      <c r="E898" s="48"/>
      <c r="K898" s="49"/>
    </row>
    <row r="899" ht="15.75" customHeight="1">
      <c r="A899" s="47"/>
      <c r="B899" s="35"/>
      <c r="E899" s="48"/>
      <c r="K899" s="49"/>
    </row>
    <row r="900" ht="15.75" customHeight="1">
      <c r="A900" s="47"/>
      <c r="B900" s="35"/>
      <c r="E900" s="48"/>
      <c r="K900" s="49"/>
    </row>
    <row r="901" ht="15.75" customHeight="1">
      <c r="A901" s="47"/>
      <c r="B901" s="35"/>
      <c r="E901" s="48"/>
      <c r="K901" s="49"/>
    </row>
    <row r="902" ht="15.75" customHeight="1">
      <c r="A902" s="47"/>
      <c r="B902" s="35"/>
      <c r="E902" s="48"/>
      <c r="K902" s="49"/>
    </row>
    <row r="903" ht="15.75" customHeight="1">
      <c r="A903" s="47"/>
      <c r="B903" s="35"/>
      <c r="E903" s="48"/>
      <c r="K903" s="49"/>
    </row>
    <row r="904" ht="15.75" customHeight="1">
      <c r="A904" s="47"/>
      <c r="B904" s="35"/>
      <c r="E904" s="48"/>
      <c r="K904" s="49"/>
    </row>
    <row r="905" ht="15.75" customHeight="1">
      <c r="A905" s="47"/>
      <c r="B905" s="35"/>
      <c r="E905" s="48"/>
      <c r="K905" s="49"/>
    </row>
    <row r="906" ht="15.75" customHeight="1">
      <c r="A906" s="47"/>
      <c r="B906" s="35"/>
      <c r="E906" s="48"/>
      <c r="K906" s="49"/>
    </row>
    <row r="907" ht="15.75" customHeight="1">
      <c r="A907" s="47"/>
      <c r="B907" s="35"/>
      <c r="E907" s="48"/>
      <c r="K907" s="49"/>
    </row>
    <row r="908" ht="15.75" customHeight="1">
      <c r="A908" s="47"/>
      <c r="B908" s="35"/>
      <c r="E908" s="48"/>
      <c r="K908" s="49"/>
    </row>
    <row r="909" ht="15.75" customHeight="1">
      <c r="A909" s="47"/>
      <c r="B909" s="35"/>
      <c r="E909" s="48"/>
      <c r="K909" s="49"/>
    </row>
    <row r="910" ht="15.75" customHeight="1">
      <c r="A910" s="47"/>
      <c r="B910" s="35"/>
      <c r="E910" s="48"/>
      <c r="K910" s="49"/>
    </row>
    <row r="911" ht="15.75" customHeight="1">
      <c r="A911" s="47"/>
      <c r="B911" s="35"/>
      <c r="E911" s="48"/>
      <c r="K911" s="49"/>
    </row>
    <row r="912" ht="15.75" customHeight="1">
      <c r="A912" s="47"/>
      <c r="B912" s="35"/>
      <c r="E912" s="48"/>
      <c r="K912" s="49"/>
    </row>
    <row r="913" ht="15.75" customHeight="1">
      <c r="A913" s="47"/>
      <c r="B913" s="35"/>
      <c r="E913" s="48"/>
      <c r="K913" s="49"/>
    </row>
    <row r="914" ht="15.75" customHeight="1">
      <c r="A914" s="47"/>
      <c r="B914" s="35"/>
      <c r="E914" s="48"/>
      <c r="K914" s="49"/>
    </row>
    <row r="915" ht="15.75" customHeight="1">
      <c r="A915" s="47"/>
      <c r="B915" s="35"/>
      <c r="E915" s="48"/>
      <c r="K915" s="49"/>
    </row>
    <row r="916" ht="15.75" customHeight="1">
      <c r="A916" s="47"/>
      <c r="B916" s="35"/>
      <c r="E916" s="48"/>
      <c r="K916" s="49"/>
    </row>
    <row r="917" ht="15.75" customHeight="1">
      <c r="A917" s="47"/>
      <c r="B917" s="35"/>
      <c r="E917" s="48"/>
      <c r="K917" s="49"/>
    </row>
    <row r="918" ht="15.75" customHeight="1">
      <c r="A918" s="47"/>
      <c r="B918" s="35"/>
      <c r="E918" s="48"/>
      <c r="K918" s="49"/>
    </row>
    <row r="919" ht="15.75" customHeight="1">
      <c r="A919" s="47"/>
      <c r="B919" s="35"/>
      <c r="E919" s="48"/>
      <c r="K919" s="49"/>
    </row>
    <row r="920" ht="15.75" customHeight="1">
      <c r="A920" s="47"/>
      <c r="B920" s="35"/>
      <c r="E920" s="48"/>
      <c r="K920" s="49"/>
    </row>
    <row r="921" ht="15.75" customHeight="1">
      <c r="A921" s="47"/>
      <c r="B921" s="35"/>
      <c r="E921" s="48"/>
      <c r="K921" s="49"/>
    </row>
    <row r="922" ht="15.75" customHeight="1">
      <c r="A922" s="47"/>
      <c r="B922" s="35"/>
      <c r="E922" s="48"/>
      <c r="K922" s="49"/>
    </row>
    <row r="923" ht="15.75" customHeight="1">
      <c r="A923" s="47"/>
      <c r="B923" s="35"/>
      <c r="E923" s="48"/>
      <c r="K923" s="49"/>
    </row>
    <row r="924" ht="15.75" customHeight="1">
      <c r="A924" s="47"/>
      <c r="B924" s="35"/>
      <c r="E924" s="48"/>
      <c r="K924" s="49"/>
    </row>
    <row r="925" ht="15.75" customHeight="1">
      <c r="A925" s="47"/>
      <c r="B925" s="35"/>
      <c r="E925" s="48"/>
      <c r="K925" s="49"/>
    </row>
    <row r="926" ht="15.75" customHeight="1">
      <c r="A926" s="47"/>
      <c r="B926" s="35"/>
      <c r="E926" s="48"/>
      <c r="K926" s="49"/>
    </row>
    <row r="927" ht="15.75" customHeight="1">
      <c r="A927" s="47"/>
      <c r="B927" s="35"/>
      <c r="E927" s="48"/>
      <c r="K927" s="49"/>
    </row>
    <row r="928" ht="15.75" customHeight="1">
      <c r="A928" s="47"/>
      <c r="B928" s="35"/>
      <c r="E928" s="48"/>
      <c r="K928" s="49"/>
    </row>
    <row r="929" ht="15.75" customHeight="1">
      <c r="A929" s="47"/>
      <c r="B929" s="35"/>
      <c r="E929" s="48"/>
      <c r="K929" s="49"/>
    </row>
    <row r="930" ht="15.75" customHeight="1">
      <c r="A930" s="47"/>
      <c r="B930" s="35"/>
      <c r="E930" s="48"/>
      <c r="K930" s="49"/>
    </row>
    <row r="931" ht="15.75" customHeight="1">
      <c r="A931" s="47"/>
      <c r="B931" s="35"/>
      <c r="E931" s="48"/>
      <c r="K931" s="49"/>
    </row>
    <row r="932" ht="15.75" customHeight="1">
      <c r="A932" s="47"/>
      <c r="B932" s="35"/>
      <c r="E932" s="48"/>
      <c r="K932" s="49"/>
    </row>
    <row r="933" ht="15.75" customHeight="1">
      <c r="A933" s="47"/>
      <c r="B933" s="35"/>
      <c r="E933" s="48"/>
      <c r="K933" s="49"/>
    </row>
    <row r="934" ht="15.75" customHeight="1">
      <c r="A934" s="47"/>
      <c r="B934" s="35"/>
      <c r="E934" s="48"/>
      <c r="K934" s="49"/>
    </row>
    <row r="935" ht="15.75" customHeight="1">
      <c r="A935" s="47"/>
      <c r="B935" s="35"/>
      <c r="E935" s="48"/>
      <c r="K935" s="49"/>
    </row>
    <row r="936" ht="15.75" customHeight="1">
      <c r="A936" s="47"/>
      <c r="B936" s="35"/>
      <c r="E936" s="48"/>
      <c r="K936" s="49"/>
    </row>
    <row r="937" ht="15.75" customHeight="1">
      <c r="A937" s="47"/>
      <c r="B937" s="35"/>
      <c r="E937" s="48"/>
      <c r="K937" s="49"/>
    </row>
    <row r="938" ht="15.75" customHeight="1">
      <c r="A938" s="47"/>
      <c r="B938" s="35"/>
      <c r="E938" s="48"/>
      <c r="K938" s="49"/>
    </row>
    <row r="939" ht="15.75" customHeight="1">
      <c r="A939" s="47"/>
      <c r="B939" s="35"/>
      <c r="E939" s="48"/>
      <c r="K939" s="49"/>
    </row>
    <row r="940" ht="15.75" customHeight="1">
      <c r="A940" s="47"/>
      <c r="B940" s="35"/>
      <c r="E940" s="48"/>
      <c r="K940" s="49"/>
    </row>
    <row r="941" ht="15.75" customHeight="1">
      <c r="A941" s="47"/>
      <c r="B941" s="35"/>
      <c r="E941" s="48"/>
      <c r="K941" s="49"/>
    </row>
    <row r="942" ht="15.75" customHeight="1">
      <c r="A942" s="47"/>
      <c r="B942" s="35"/>
      <c r="E942" s="48"/>
      <c r="K942" s="49"/>
    </row>
    <row r="943" ht="15.75" customHeight="1">
      <c r="A943" s="47"/>
      <c r="B943" s="35"/>
      <c r="E943" s="48"/>
      <c r="K943" s="49"/>
    </row>
    <row r="944" ht="15.75" customHeight="1">
      <c r="A944" s="47"/>
      <c r="B944" s="35"/>
      <c r="E944" s="48"/>
      <c r="K944" s="49"/>
    </row>
    <row r="945" ht="15.75" customHeight="1">
      <c r="A945" s="47"/>
      <c r="B945" s="35"/>
      <c r="E945" s="48"/>
      <c r="K945" s="49"/>
    </row>
    <row r="946" ht="15.75" customHeight="1">
      <c r="A946" s="47"/>
      <c r="B946" s="35"/>
      <c r="E946" s="48"/>
      <c r="K946" s="49"/>
    </row>
    <row r="947" ht="15.75" customHeight="1">
      <c r="A947" s="47"/>
      <c r="B947" s="35"/>
      <c r="E947" s="48"/>
      <c r="K947" s="49"/>
    </row>
    <row r="948" ht="15.75" customHeight="1">
      <c r="A948" s="47"/>
      <c r="B948" s="35"/>
      <c r="E948" s="48"/>
      <c r="K948" s="49"/>
    </row>
    <row r="949" ht="15.75" customHeight="1">
      <c r="A949" s="47"/>
      <c r="B949" s="35"/>
      <c r="E949" s="48"/>
      <c r="K949" s="49"/>
    </row>
    <row r="950" ht="15.75" customHeight="1">
      <c r="A950" s="47"/>
      <c r="B950" s="35"/>
      <c r="E950" s="48"/>
      <c r="K950" s="49"/>
    </row>
    <row r="951" ht="15.75" customHeight="1">
      <c r="A951" s="47"/>
      <c r="B951" s="35"/>
      <c r="E951" s="48"/>
      <c r="K951" s="49"/>
    </row>
    <row r="952" ht="15.75" customHeight="1">
      <c r="A952" s="47"/>
      <c r="B952" s="35"/>
      <c r="E952" s="48"/>
      <c r="K952" s="49"/>
    </row>
    <row r="953" ht="15.75" customHeight="1">
      <c r="A953" s="47"/>
      <c r="B953" s="35"/>
      <c r="E953" s="48"/>
      <c r="K953" s="49"/>
    </row>
    <row r="954" ht="15.75" customHeight="1">
      <c r="A954" s="47"/>
      <c r="B954" s="35"/>
      <c r="E954" s="48"/>
      <c r="K954" s="49"/>
    </row>
    <row r="955" ht="15.75" customHeight="1">
      <c r="A955" s="47"/>
      <c r="B955" s="35"/>
      <c r="E955" s="48"/>
      <c r="K955" s="49"/>
    </row>
    <row r="956" ht="15.75" customHeight="1">
      <c r="A956" s="47"/>
      <c r="B956" s="35"/>
      <c r="E956" s="48"/>
      <c r="K956" s="49"/>
    </row>
    <row r="957" ht="15.75" customHeight="1">
      <c r="A957" s="47"/>
      <c r="B957" s="35"/>
      <c r="E957" s="48"/>
      <c r="K957" s="49"/>
    </row>
    <row r="958" ht="15.75" customHeight="1">
      <c r="A958" s="47"/>
      <c r="B958" s="35"/>
      <c r="E958" s="48"/>
      <c r="K958" s="49"/>
    </row>
    <row r="959" ht="15.75" customHeight="1">
      <c r="A959" s="47"/>
      <c r="B959" s="35"/>
      <c r="E959" s="48"/>
      <c r="K959" s="49"/>
    </row>
    <row r="960" ht="15.75" customHeight="1">
      <c r="A960" s="47"/>
      <c r="B960" s="35"/>
      <c r="E960" s="48"/>
      <c r="K960" s="49"/>
    </row>
    <row r="961" ht="15.75" customHeight="1">
      <c r="A961" s="47"/>
      <c r="B961" s="35"/>
      <c r="E961" s="48"/>
      <c r="K961" s="49"/>
    </row>
    <row r="962" ht="15.75" customHeight="1">
      <c r="A962" s="47"/>
      <c r="B962" s="35"/>
      <c r="E962" s="48"/>
      <c r="K962" s="49"/>
    </row>
    <row r="963" ht="15.75" customHeight="1">
      <c r="A963" s="47"/>
      <c r="B963" s="35"/>
      <c r="E963" s="48"/>
      <c r="K963" s="49"/>
    </row>
    <row r="964" ht="15.75" customHeight="1">
      <c r="A964" s="47"/>
      <c r="B964" s="35"/>
      <c r="E964" s="48"/>
      <c r="K964" s="49"/>
    </row>
    <row r="965" ht="15.75" customHeight="1">
      <c r="A965" s="47"/>
      <c r="B965" s="35"/>
      <c r="E965" s="48"/>
      <c r="K965" s="49"/>
    </row>
    <row r="966" ht="15.75" customHeight="1">
      <c r="A966" s="47"/>
      <c r="B966" s="35"/>
      <c r="E966" s="48"/>
      <c r="K966" s="49"/>
    </row>
    <row r="967" ht="15.75" customHeight="1">
      <c r="A967" s="47"/>
      <c r="B967" s="35"/>
      <c r="E967" s="48"/>
      <c r="K967" s="49"/>
    </row>
    <row r="968" ht="15.75" customHeight="1">
      <c r="A968" s="47"/>
      <c r="B968" s="35"/>
      <c r="E968" s="48"/>
      <c r="K968" s="49"/>
    </row>
    <row r="969" ht="15.75" customHeight="1">
      <c r="A969" s="47"/>
      <c r="B969" s="35"/>
      <c r="E969" s="48"/>
      <c r="K969" s="49"/>
    </row>
    <row r="970" ht="15.75" customHeight="1">
      <c r="A970" s="47"/>
      <c r="B970" s="35"/>
      <c r="E970" s="48"/>
      <c r="K970" s="49"/>
    </row>
    <row r="971" ht="15.75" customHeight="1">
      <c r="A971" s="47"/>
      <c r="B971" s="35"/>
      <c r="E971" s="48"/>
      <c r="K971" s="49"/>
    </row>
    <row r="972" ht="15.75" customHeight="1">
      <c r="A972" s="47"/>
      <c r="B972" s="35"/>
      <c r="E972" s="48"/>
      <c r="K972" s="49"/>
    </row>
    <row r="973" ht="15.75" customHeight="1">
      <c r="A973" s="47"/>
      <c r="B973" s="35"/>
      <c r="E973" s="48"/>
      <c r="K973" s="49"/>
    </row>
    <row r="974" ht="15.75" customHeight="1">
      <c r="A974" s="47"/>
      <c r="B974" s="35"/>
      <c r="E974" s="48"/>
      <c r="K974" s="49"/>
    </row>
    <row r="975" ht="15.75" customHeight="1">
      <c r="A975" s="47"/>
      <c r="B975" s="35"/>
      <c r="E975" s="48"/>
      <c r="K975" s="49"/>
    </row>
    <row r="976" ht="15.75" customHeight="1">
      <c r="A976" s="47"/>
      <c r="B976" s="35"/>
      <c r="E976" s="48"/>
      <c r="K976" s="49"/>
    </row>
    <row r="977" ht="15.75" customHeight="1">
      <c r="A977" s="47"/>
      <c r="B977" s="35"/>
      <c r="E977" s="48"/>
      <c r="K977" s="49"/>
    </row>
    <row r="978" ht="15.75" customHeight="1">
      <c r="A978" s="47"/>
      <c r="B978" s="35"/>
      <c r="E978" s="48"/>
      <c r="K978" s="49"/>
    </row>
    <row r="979" ht="15.75" customHeight="1">
      <c r="A979" s="47"/>
      <c r="B979" s="35"/>
      <c r="E979" s="48"/>
      <c r="K979" s="49"/>
    </row>
    <row r="980" ht="15.75" customHeight="1">
      <c r="A980" s="47"/>
      <c r="B980" s="35"/>
      <c r="E980" s="48"/>
      <c r="K980" s="49"/>
    </row>
    <row r="981" ht="15.75" customHeight="1">
      <c r="A981" s="47"/>
      <c r="B981" s="35"/>
      <c r="E981" s="48"/>
      <c r="K981" s="49"/>
    </row>
    <row r="982" ht="15.75" customHeight="1">
      <c r="A982" s="47"/>
      <c r="B982" s="35"/>
      <c r="E982" s="48"/>
      <c r="K982" s="49"/>
    </row>
    <row r="983" ht="15.75" customHeight="1">
      <c r="A983" s="47"/>
      <c r="B983" s="35"/>
      <c r="E983" s="48"/>
      <c r="K983" s="49"/>
    </row>
    <row r="984" ht="15.75" customHeight="1">
      <c r="A984" s="47"/>
      <c r="B984" s="35"/>
      <c r="E984" s="48"/>
      <c r="K984" s="49"/>
    </row>
    <row r="985" ht="15.75" customHeight="1">
      <c r="A985" s="47"/>
      <c r="B985" s="35"/>
      <c r="E985" s="48"/>
      <c r="K985" s="49"/>
    </row>
    <row r="986" ht="15.75" customHeight="1">
      <c r="A986" s="47"/>
      <c r="B986" s="35"/>
      <c r="E986" s="48"/>
      <c r="K986" s="49"/>
    </row>
    <row r="987" ht="15.75" customHeight="1">
      <c r="A987" s="47"/>
      <c r="B987" s="35"/>
      <c r="E987" s="48"/>
      <c r="K987" s="49"/>
    </row>
    <row r="988" ht="15.75" customHeight="1">
      <c r="A988" s="47"/>
      <c r="B988" s="35"/>
      <c r="E988" s="48"/>
      <c r="K988" s="49"/>
    </row>
    <row r="989" ht="15.75" customHeight="1">
      <c r="A989" s="47"/>
      <c r="B989" s="35"/>
      <c r="E989" s="48"/>
      <c r="K989" s="49"/>
    </row>
    <row r="990" ht="15.75" customHeight="1">
      <c r="A990" s="47"/>
      <c r="B990" s="35"/>
      <c r="E990" s="48"/>
      <c r="K990" s="49"/>
    </row>
    <row r="991" ht="15.75" customHeight="1">
      <c r="A991" s="47"/>
      <c r="B991" s="35"/>
      <c r="E991" s="48"/>
      <c r="K991" s="49"/>
    </row>
    <row r="992" ht="15.75" customHeight="1">
      <c r="A992" s="47"/>
      <c r="B992" s="35"/>
      <c r="E992" s="48"/>
      <c r="K992" s="49"/>
    </row>
    <row r="993" ht="15.75" customHeight="1">
      <c r="A993" s="47"/>
      <c r="B993" s="35"/>
      <c r="E993" s="48"/>
      <c r="K993" s="49"/>
    </row>
    <row r="994" ht="15.75" customHeight="1">
      <c r="A994" s="47"/>
      <c r="B994" s="35"/>
      <c r="E994" s="48"/>
      <c r="K994" s="49"/>
    </row>
    <row r="995" ht="15.75" customHeight="1">
      <c r="A995" s="47"/>
      <c r="B995" s="35"/>
      <c r="E995" s="48"/>
      <c r="K995" s="49"/>
    </row>
    <row r="996" ht="15.75" customHeight="1">
      <c r="A996" s="47"/>
      <c r="B996" s="35"/>
      <c r="E996" s="48"/>
      <c r="K996" s="49"/>
    </row>
    <row r="997" ht="15.75" customHeight="1">
      <c r="A997" s="47"/>
      <c r="B997" s="35"/>
      <c r="E997" s="48"/>
      <c r="K997" s="49"/>
    </row>
    <row r="998" ht="15.75" customHeight="1">
      <c r="A998" s="47"/>
      <c r="B998" s="35"/>
      <c r="E998" s="48"/>
      <c r="K998" s="49"/>
    </row>
    <row r="999" ht="15.75" customHeight="1">
      <c r="A999" s="47"/>
      <c r="B999" s="35"/>
      <c r="E999" s="48"/>
      <c r="K999" s="49"/>
    </row>
    <row r="1000" ht="15.75" customHeight="1">
      <c r="A1000" s="47"/>
      <c r="B1000" s="35"/>
      <c r="E1000" s="48"/>
      <c r="K1000" s="49"/>
    </row>
  </sheetData>
  <autoFilter ref="$A$1:$N$363">
    <filterColumn colId="1">
      <filters>
        <filter val="12397855-2"/>
      </filters>
    </filterColumn>
  </autoFilter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10.63"/>
    <col customWidth="1" min="3" max="3" width="29.25"/>
    <col customWidth="1" min="4" max="4" width="10.63"/>
    <col customWidth="1" min="5" max="5" width="54.13"/>
    <col customWidth="1" min="6" max="26" width="10.63"/>
  </cols>
  <sheetData>
    <row r="1">
      <c r="A1" s="1"/>
      <c r="B1" s="1"/>
      <c r="C1" s="1"/>
      <c r="D1" s="1"/>
      <c r="E1" s="1"/>
    </row>
    <row r="2">
      <c r="A2" s="4" t="s">
        <v>3</v>
      </c>
      <c r="B2" s="11" t="s">
        <v>6</v>
      </c>
      <c r="C2" s="13" t="s">
        <v>23</v>
      </c>
      <c r="D2" s="13" t="s">
        <v>26</v>
      </c>
      <c r="E2" s="21" t="s">
        <v>0</v>
      </c>
    </row>
    <row r="3">
      <c r="A3" s="17" t="s">
        <v>41</v>
      </c>
      <c r="B3" s="23" t="s">
        <v>43</v>
      </c>
      <c r="C3" s="1" t="s">
        <v>47</v>
      </c>
      <c r="D3" s="1" t="s">
        <v>48</v>
      </c>
      <c r="E3" s="19" t="s">
        <v>36</v>
      </c>
    </row>
    <row r="4">
      <c r="A4" s="17" t="s">
        <v>49</v>
      </c>
      <c r="B4" s="23" t="s">
        <v>50</v>
      </c>
      <c r="C4" s="1" t="s">
        <v>51</v>
      </c>
      <c r="D4" s="1"/>
      <c r="E4" s="19" t="s">
        <v>36</v>
      </c>
    </row>
    <row r="5">
      <c r="A5" s="17" t="s">
        <v>52</v>
      </c>
      <c r="B5" s="23" t="s">
        <v>54</v>
      </c>
      <c r="C5" s="1" t="s">
        <v>47</v>
      </c>
      <c r="D5" s="1" t="s">
        <v>55</v>
      </c>
      <c r="E5" s="10" t="s">
        <v>13</v>
      </c>
    </row>
    <row r="6">
      <c r="A6" s="17" t="s">
        <v>57</v>
      </c>
      <c r="B6" s="23" t="s">
        <v>58</v>
      </c>
      <c r="C6" s="1" t="s">
        <v>51</v>
      </c>
      <c r="D6" s="1"/>
      <c r="E6" s="10" t="s">
        <v>13</v>
      </c>
    </row>
    <row r="7">
      <c r="A7" s="17" t="s">
        <v>59</v>
      </c>
      <c r="B7" s="23" t="s">
        <v>60</v>
      </c>
      <c r="C7" s="1" t="s">
        <v>47</v>
      </c>
      <c r="D7" s="1" t="s">
        <v>61</v>
      </c>
      <c r="E7" s="1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3.88"/>
    <col customWidth="1" min="2" max="2" width="11.38"/>
    <col customWidth="1" min="3" max="26" width="10.63"/>
  </cols>
  <sheetData>
    <row r="1">
      <c r="A1" s="2" t="s">
        <v>0</v>
      </c>
      <c r="B1" s="2" t="s">
        <v>1</v>
      </c>
    </row>
    <row r="2" hidden="1">
      <c r="A2" s="3" t="s">
        <v>2</v>
      </c>
      <c r="B2" s="5" t="s">
        <v>5</v>
      </c>
    </row>
    <row r="3">
      <c r="A3" s="7" t="s">
        <v>7</v>
      </c>
      <c r="B3" s="5"/>
    </row>
    <row r="4">
      <c r="A4" s="7" t="s">
        <v>12</v>
      </c>
      <c r="B4" s="5"/>
    </row>
    <row r="5" hidden="1">
      <c r="A5" s="10" t="s">
        <v>13</v>
      </c>
      <c r="B5" s="5" t="s">
        <v>5</v>
      </c>
    </row>
    <row r="6" hidden="1">
      <c r="A6" s="12" t="s">
        <v>21</v>
      </c>
      <c r="B6" s="5" t="s">
        <v>5</v>
      </c>
    </row>
    <row r="7" hidden="1">
      <c r="A7" s="14" t="s">
        <v>24</v>
      </c>
      <c r="B7" s="5" t="s">
        <v>5</v>
      </c>
    </row>
    <row r="8" hidden="1">
      <c r="A8" s="16" t="s">
        <v>27</v>
      </c>
      <c r="B8" s="5" t="s">
        <v>5</v>
      </c>
    </row>
    <row r="9" hidden="1">
      <c r="A9" s="18" t="s">
        <v>33</v>
      </c>
      <c r="B9" s="5" t="s">
        <v>5</v>
      </c>
    </row>
    <row r="10" hidden="1">
      <c r="A10" s="19" t="s">
        <v>36</v>
      </c>
      <c r="B10" s="5" t="s">
        <v>5</v>
      </c>
    </row>
    <row r="11" hidden="1">
      <c r="A11" s="20" t="s">
        <v>37</v>
      </c>
      <c r="B11" s="5" t="s">
        <v>5</v>
      </c>
    </row>
    <row r="12">
      <c r="A12" s="7" t="s">
        <v>38</v>
      </c>
      <c r="B12" s="5"/>
    </row>
    <row r="13">
      <c r="A13" s="7" t="s">
        <v>39</v>
      </c>
      <c r="B13" s="5"/>
    </row>
    <row r="14">
      <c r="A14" s="7" t="s">
        <v>42</v>
      </c>
      <c r="B14" s="5"/>
    </row>
    <row r="15">
      <c r="A15" s="7" t="s">
        <v>44</v>
      </c>
      <c r="B15" s="5"/>
    </row>
    <row r="16" hidden="1">
      <c r="A16" s="24" t="s">
        <v>46</v>
      </c>
      <c r="B16" s="5" t="s">
        <v>5</v>
      </c>
    </row>
    <row r="17">
      <c r="B17" s="27"/>
    </row>
    <row r="18">
      <c r="B18" s="27"/>
    </row>
    <row r="19">
      <c r="B19" s="27"/>
    </row>
    <row r="20">
      <c r="B20" s="27"/>
    </row>
    <row r="21" ht="15.75" customHeight="1">
      <c r="B21" s="27"/>
    </row>
    <row r="22" ht="15.75" customHeight="1">
      <c r="B22" s="27"/>
    </row>
    <row r="23" ht="15.75" customHeight="1">
      <c r="B23" s="27"/>
    </row>
    <row r="24" ht="15.75" customHeight="1">
      <c r="B24" s="27"/>
    </row>
    <row r="25" ht="15.75" customHeight="1">
      <c r="B25" s="27"/>
    </row>
    <row r="26" ht="15.75" customHeight="1">
      <c r="B26" s="27" t="s">
        <v>56</v>
      </c>
    </row>
    <row r="27" ht="15.75" customHeight="1">
      <c r="B27" s="27"/>
    </row>
    <row r="28" ht="15.75" customHeight="1">
      <c r="B28" s="27"/>
    </row>
    <row r="29" ht="15.75" customHeight="1">
      <c r="B29" s="27"/>
    </row>
    <row r="30" ht="15.75" customHeight="1">
      <c r="B30" s="27"/>
    </row>
    <row r="31" ht="15.75" customHeight="1">
      <c r="B31" s="27"/>
    </row>
    <row r="32" ht="15.75" customHeight="1">
      <c r="B32" s="27"/>
    </row>
    <row r="33" ht="15.75" customHeight="1">
      <c r="B33" s="27"/>
    </row>
    <row r="34" ht="15.75" customHeight="1">
      <c r="B34" s="27"/>
    </row>
    <row r="35" ht="15.75" customHeight="1">
      <c r="B35" s="27"/>
    </row>
    <row r="36" ht="15.75" customHeight="1">
      <c r="B36" s="27"/>
    </row>
    <row r="37" ht="15.75" customHeight="1">
      <c r="B37" s="27"/>
    </row>
    <row r="38" ht="15.75" customHeight="1">
      <c r="B38" s="27"/>
    </row>
    <row r="39" ht="15.75" customHeight="1">
      <c r="B39" s="27"/>
    </row>
    <row r="40" ht="15.75" customHeight="1">
      <c r="B40" s="27"/>
    </row>
    <row r="41" ht="15.75" customHeight="1">
      <c r="B41" s="27"/>
    </row>
    <row r="42" ht="15.75" customHeight="1">
      <c r="B42" s="27"/>
    </row>
    <row r="43" ht="15.75" customHeight="1">
      <c r="B43" s="27"/>
    </row>
    <row r="44" ht="15.75" customHeight="1">
      <c r="B44" s="27"/>
    </row>
    <row r="45" ht="15.75" customHeight="1">
      <c r="B45" s="27"/>
    </row>
    <row r="46" ht="15.75" customHeight="1">
      <c r="B46" s="27"/>
    </row>
    <row r="47" ht="15.75" customHeight="1">
      <c r="B47" s="27"/>
    </row>
    <row r="48" ht="15.75" customHeight="1">
      <c r="B48" s="27"/>
    </row>
    <row r="49" ht="15.75" customHeight="1">
      <c r="B49" s="27"/>
    </row>
    <row r="50" ht="15.75" customHeight="1">
      <c r="B50" s="27"/>
    </row>
    <row r="51" ht="15.75" customHeight="1">
      <c r="B51" s="27"/>
    </row>
    <row r="52" ht="15.75" customHeight="1">
      <c r="B52" s="27"/>
    </row>
    <row r="53" ht="15.75" customHeight="1">
      <c r="B53" s="27"/>
    </row>
    <row r="54" ht="15.75" customHeight="1">
      <c r="B54" s="27"/>
    </row>
    <row r="55" ht="15.75" customHeight="1">
      <c r="B55" s="27"/>
    </row>
    <row r="56" ht="15.75" customHeight="1">
      <c r="B56" s="27"/>
    </row>
    <row r="57" ht="15.75" customHeight="1">
      <c r="B57" s="27"/>
    </row>
    <row r="58" ht="15.75" customHeight="1">
      <c r="B58" s="27"/>
    </row>
    <row r="59" ht="15.75" customHeight="1">
      <c r="B59" s="27"/>
    </row>
    <row r="60" ht="15.75" customHeight="1">
      <c r="B60" s="27"/>
    </row>
    <row r="61" ht="15.75" customHeight="1">
      <c r="B61" s="27"/>
    </row>
    <row r="62" ht="15.75" customHeight="1">
      <c r="B62" s="27"/>
    </row>
    <row r="63" ht="15.75" customHeight="1">
      <c r="B63" s="27"/>
    </row>
    <row r="64" ht="15.75" customHeight="1">
      <c r="B64" s="27"/>
    </row>
    <row r="65" ht="15.75" customHeight="1">
      <c r="B65" s="27"/>
    </row>
    <row r="66" ht="15.75" customHeight="1">
      <c r="B66" s="27"/>
    </row>
    <row r="67" ht="15.75" customHeight="1">
      <c r="B67" s="27"/>
    </row>
    <row r="68" ht="15.75" customHeight="1">
      <c r="B68" s="27"/>
    </row>
    <row r="69" ht="15.75" customHeight="1">
      <c r="B69" s="27"/>
    </row>
    <row r="70" ht="15.75" customHeight="1">
      <c r="B70" s="27"/>
    </row>
    <row r="71" ht="15.75" customHeight="1">
      <c r="B71" s="27"/>
    </row>
    <row r="72" ht="15.75" customHeight="1">
      <c r="B72" s="27"/>
    </row>
    <row r="73" ht="15.75" customHeight="1">
      <c r="B73" s="27"/>
    </row>
    <row r="74" ht="15.75" customHeight="1">
      <c r="B74" s="27"/>
    </row>
    <row r="75" ht="15.75" customHeight="1">
      <c r="B75" s="27"/>
    </row>
    <row r="76" ht="15.75" customHeight="1">
      <c r="B76" s="27"/>
    </row>
    <row r="77" ht="15.75" customHeight="1">
      <c r="B77" s="27"/>
    </row>
    <row r="78" ht="15.75" customHeight="1">
      <c r="B78" s="27"/>
    </row>
    <row r="79" ht="15.75" customHeight="1">
      <c r="B79" s="27"/>
    </row>
    <row r="80" ht="15.75" customHeight="1">
      <c r="B80" s="27"/>
    </row>
    <row r="81" ht="15.75" customHeight="1">
      <c r="B81" s="27"/>
    </row>
    <row r="82" ht="15.75" customHeight="1">
      <c r="B82" s="27"/>
    </row>
    <row r="83" ht="15.75" customHeight="1">
      <c r="B83" s="27"/>
    </row>
    <row r="84" ht="15.75" customHeight="1">
      <c r="B84" s="27"/>
    </row>
    <row r="85" ht="15.75" customHeight="1">
      <c r="B85" s="27"/>
    </row>
    <row r="86" ht="15.75" customHeight="1">
      <c r="B86" s="27"/>
    </row>
    <row r="87" ht="15.75" customHeight="1">
      <c r="B87" s="27"/>
    </row>
    <row r="88" ht="15.75" customHeight="1">
      <c r="B88" s="27"/>
    </row>
    <row r="89" ht="15.75" customHeight="1">
      <c r="B89" s="27"/>
    </row>
    <row r="90" ht="15.75" customHeight="1">
      <c r="B90" s="27"/>
    </row>
    <row r="91" ht="15.75" customHeight="1">
      <c r="B91" s="27"/>
    </row>
    <row r="92" ht="15.75" customHeight="1">
      <c r="B92" s="27"/>
    </row>
    <row r="93" ht="15.75" customHeight="1">
      <c r="B93" s="27"/>
    </row>
    <row r="94" ht="15.75" customHeight="1">
      <c r="B94" s="27"/>
    </row>
    <row r="95" ht="15.75" customHeight="1">
      <c r="B95" s="27"/>
    </row>
    <row r="96" ht="15.75" customHeight="1">
      <c r="B96" s="27"/>
    </row>
    <row r="97" ht="15.75" customHeight="1">
      <c r="B97" s="27"/>
    </row>
    <row r="98" ht="15.75" customHeight="1">
      <c r="B98" s="27"/>
    </row>
    <row r="99" ht="15.75" customHeight="1">
      <c r="B99" s="27"/>
    </row>
    <row r="100" ht="15.75" customHeight="1">
      <c r="B100" s="27"/>
    </row>
    <row r="101" ht="15.75" customHeight="1">
      <c r="B101" s="27"/>
    </row>
    <row r="102" ht="15.75" customHeight="1">
      <c r="B102" s="27"/>
    </row>
    <row r="103" ht="15.75" customHeight="1">
      <c r="B103" s="27"/>
    </row>
    <row r="104" ht="15.75" customHeight="1">
      <c r="B104" s="27"/>
    </row>
    <row r="105" ht="15.75" customHeight="1">
      <c r="B105" s="27"/>
    </row>
    <row r="106" ht="15.75" customHeight="1">
      <c r="B106" s="27"/>
    </row>
    <row r="107" ht="15.75" customHeight="1">
      <c r="B107" s="27"/>
    </row>
    <row r="108" ht="15.75" customHeight="1">
      <c r="B108" s="27"/>
    </row>
    <row r="109" ht="15.75" customHeight="1">
      <c r="B109" s="27"/>
    </row>
    <row r="110" ht="15.75" customHeight="1">
      <c r="B110" s="27"/>
    </row>
    <row r="111" ht="15.75" customHeight="1">
      <c r="B111" s="27"/>
    </row>
    <row r="112" ht="15.75" customHeight="1">
      <c r="B112" s="27"/>
    </row>
    <row r="113" ht="15.75" customHeight="1">
      <c r="B113" s="27"/>
    </row>
    <row r="114" ht="15.75" customHeight="1">
      <c r="B114" s="27"/>
    </row>
    <row r="115" ht="15.75" customHeight="1">
      <c r="B115" s="27"/>
    </row>
    <row r="116" ht="15.75" customHeight="1">
      <c r="B116" s="27"/>
    </row>
    <row r="117" ht="15.75" customHeight="1">
      <c r="B117" s="27"/>
    </row>
    <row r="118" ht="15.75" customHeight="1">
      <c r="B118" s="27"/>
    </row>
    <row r="119" ht="15.75" customHeight="1">
      <c r="B119" s="27"/>
    </row>
    <row r="120" ht="15.75" customHeight="1">
      <c r="B120" s="27"/>
    </row>
    <row r="121" ht="15.75" customHeight="1">
      <c r="B121" s="27"/>
    </row>
    <row r="122" ht="15.75" customHeight="1">
      <c r="B122" s="27"/>
    </row>
    <row r="123" ht="15.75" customHeight="1">
      <c r="B123" s="27"/>
    </row>
    <row r="124" ht="15.75" customHeight="1">
      <c r="B124" s="27"/>
    </row>
    <row r="125" ht="15.75" customHeight="1">
      <c r="B125" s="27"/>
    </row>
    <row r="126" ht="15.75" customHeight="1">
      <c r="B126" s="27"/>
    </row>
    <row r="127" ht="15.75" customHeight="1">
      <c r="B127" s="27"/>
    </row>
    <row r="128" ht="15.75" customHeight="1">
      <c r="B128" s="27"/>
    </row>
    <row r="129" ht="15.75" customHeight="1">
      <c r="B129" s="27"/>
    </row>
    <row r="130" ht="15.75" customHeight="1">
      <c r="B130" s="27"/>
    </row>
    <row r="131" ht="15.75" customHeight="1">
      <c r="B131" s="27"/>
    </row>
    <row r="132" ht="15.75" customHeight="1">
      <c r="B132" s="27"/>
    </row>
    <row r="133" ht="15.75" customHeight="1">
      <c r="B133" s="27"/>
    </row>
    <row r="134" ht="15.75" customHeight="1">
      <c r="B134" s="27"/>
    </row>
    <row r="135" ht="15.75" customHeight="1">
      <c r="B135" s="27"/>
    </row>
    <row r="136" ht="15.75" customHeight="1">
      <c r="B136" s="27"/>
    </row>
    <row r="137" ht="15.75" customHeight="1">
      <c r="B137" s="27"/>
    </row>
    <row r="138" ht="15.75" customHeight="1">
      <c r="B138" s="27"/>
    </row>
    <row r="139" ht="15.75" customHeight="1">
      <c r="B139" s="27"/>
    </row>
    <row r="140" ht="15.75" customHeight="1">
      <c r="B140" s="27"/>
    </row>
    <row r="141" ht="15.75" customHeight="1">
      <c r="B141" s="27"/>
    </row>
    <row r="142" ht="15.75" customHeight="1">
      <c r="B142" s="27"/>
    </row>
    <row r="143" ht="15.75" customHeight="1">
      <c r="B143" s="27"/>
    </row>
    <row r="144" ht="15.75" customHeight="1">
      <c r="B144" s="27"/>
    </row>
    <row r="145" ht="15.75" customHeight="1">
      <c r="B145" s="27"/>
    </row>
    <row r="146" ht="15.75" customHeight="1">
      <c r="B146" s="27"/>
    </row>
    <row r="147" ht="15.75" customHeight="1">
      <c r="B147" s="27"/>
    </row>
    <row r="148" ht="15.75" customHeight="1">
      <c r="B148" s="27"/>
    </row>
    <row r="149" ht="15.75" customHeight="1">
      <c r="B149" s="27"/>
    </row>
    <row r="150" ht="15.75" customHeight="1">
      <c r="B150" s="27"/>
    </row>
    <row r="151" ht="15.75" customHeight="1">
      <c r="B151" s="27"/>
    </row>
    <row r="152" ht="15.75" customHeight="1">
      <c r="B152" s="27"/>
    </row>
    <row r="153" ht="15.75" customHeight="1">
      <c r="B153" s="27"/>
    </row>
    <row r="154" ht="15.75" customHeight="1">
      <c r="B154" s="27"/>
    </row>
    <row r="155" ht="15.75" customHeight="1">
      <c r="B155" s="27"/>
    </row>
    <row r="156" ht="15.75" customHeight="1">
      <c r="B156" s="27"/>
    </row>
    <row r="157" ht="15.75" customHeight="1">
      <c r="B157" s="27"/>
    </row>
    <row r="158" ht="15.75" customHeight="1">
      <c r="B158" s="27"/>
    </row>
    <row r="159" ht="15.75" customHeight="1">
      <c r="B159" s="27"/>
    </row>
    <row r="160" ht="15.75" customHeight="1">
      <c r="B160" s="27"/>
    </row>
    <row r="161" ht="15.75" customHeight="1">
      <c r="B161" s="27"/>
    </row>
    <row r="162" ht="15.75" customHeight="1">
      <c r="B162" s="27"/>
    </row>
    <row r="163" ht="15.75" customHeight="1">
      <c r="B163" s="27"/>
    </row>
    <row r="164" ht="15.75" customHeight="1">
      <c r="B164" s="27"/>
    </row>
    <row r="165" ht="15.75" customHeight="1">
      <c r="B165" s="27"/>
    </row>
    <row r="166" ht="15.75" customHeight="1">
      <c r="B166" s="27"/>
    </row>
    <row r="167" ht="15.75" customHeight="1">
      <c r="B167" s="27"/>
    </row>
    <row r="168" ht="15.75" customHeight="1">
      <c r="B168" s="27"/>
    </row>
    <row r="169" ht="15.75" customHeight="1">
      <c r="B169" s="27"/>
    </row>
    <row r="170" ht="15.75" customHeight="1">
      <c r="B170" s="27"/>
    </row>
    <row r="171" ht="15.75" customHeight="1">
      <c r="B171" s="27"/>
    </row>
    <row r="172" ht="15.75" customHeight="1">
      <c r="B172" s="27"/>
    </row>
    <row r="173" ht="15.75" customHeight="1">
      <c r="B173" s="27"/>
    </row>
    <row r="174" ht="15.75" customHeight="1">
      <c r="B174" s="27"/>
    </row>
    <row r="175" ht="15.75" customHeight="1">
      <c r="B175" s="27"/>
    </row>
    <row r="176" ht="15.75" customHeight="1">
      <c r="B176" s="27"/>
    </row>
    <row r="177" ht="15.75" customHeight="1">
      <c r="B177" s="27"/>
    </row>
    <row r="178" ht="15.75" customHeight="1">
      <c r="B178" s="27"/>
    </row>
    <row r="179" ht="15.75" customHeight="1">
      <c r="B179" s="27"/>
    </row>
    <row r="180" ht="15.75" customHeight="1">
      <c r="B180" s="27"/>
    </row>
    <row r="181" ht="15.75" customHeight="1">
      <c r="B181" s="27"/>
    </row>
    <row r="182" ht="15.75" customHeight="1">
      <c r="B182" s="27"/>
    </row>
    <row r="183" ht="15.75" customHeight="1">
      <c r="B183" s="27"/>
    </row>
    <row r="184" ht="15.75" customHeight="1">
      <c r="B184" s="27"/>
    </row>
    <row r="185" ht="15.75" customHeight="1">
      <c r="B185" s="27"/>
    </row>
    <row r="186" ht="15.75" customHeight="1">
      <c r="B186" s="27"/>
    </row>
    <row r="187" ht="15.75" customHeight="1">
      <c r="B187" s="27"/>
    </row>
    <row r="188" ht="15.75" customHeight="1">
      <c r="B188" s="27"/>
    </row>
    <row r="189" ht="15.75" customHeight="1">
      <c r="B189" s="27"/>
    </row>
    <row r="190" ht="15.75" customHeight="1">
      <c r="B190" s="27"/>
    </row>
    <row r="191" ht="15.75" customHeight="1">
      <c r="B191" s="27"/>
    </row>
    <row r="192" ht="15.75" customHeight="1">
      <c r="B192" s="27"/>
    </row>
    <row r="193" ht="15.75" customHeight="1">
      <c r="B193" s="27"/>
    </row>
    <row r="194" ht="15.75" customHeight="1">
      <c r="B194" s="27"/>
    </row>
    <row r="195" ht="15.75" customHeight="1">
      <c r="B195" s="27"/>
    </row>
    <row r="196" ht="15.75" customHeight="1">
      <c r="B196" s="27"/>
    </row>
    <row r="197" ht="15.75" customHeight="1">
      <c r="B197" s="27"/>
    </row>
    <row r="198" ht="15.75" customHeight="1">
      <c r="B198" s="27"/>
    </row>
    <row r="199" ht="15.75" customHeight="1">
      <c r="B199" s="27"/>
    </row>
    <row r="200" ht="15.75" customHeight="1">
      <c r="B200" s="27"/>
    </row>
    <row r="201" ht="15.75" customHeight="1">
      <c r="B201" s="27"/>
    </row>
    <row r="202" ht="15.75" customHeight="1">
      <c r="B202" s="27"/>
    </row>
    <row r="203" ht="15.75" customHeight="1">
      <c r="B203" s="27"/>
    </row>
    <row r="204" ht="15.75" customHeight="1">
      <c r="B204" s="27"/>
    </row>
    <row r="205" ht="15.75" customHeight="1">
      <c r="B205" s="27"/>
    </row>
    <row r="206" ht="15.75" customHeight="1">
      <c r="B206" s="27"/>
    </row>
    <row r="207" ht="15.75" customHeight="1">
      <c r="B207" s="27"/>
    </row>
    <row r="208" ht="15.75" customHeight="1">
      <c r="B208" s="27"/>
    </row>
    <row r="209" ht="15.75" customHeight="1">
      <c r="B209" s="27"/>
    </row>
    <row r="210" ht="15.75" customHeight="1">
      <c r="B210" s="27"/>
    </row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>
      <c r="B221" s="27"/>
    </row>
    <row r="222" ht="15.75" customHeight="1">
      <c r="B222" s="27"/>
    </row>
    <row r="223" ht="15.75" customHeight="1">
      <c r="B223" s="27"/>
    </row>
    <row r="224" ht="15.75" customHeight="1">
      <c r="B224" s="27"/>
    </row>
    <row r="225" ht="15.75" customHeight="1">
      <c r="B225" s="27"/>
    </row>
    <row r="226" ht="15.75" customHeight="1">
      <c r="B226" s="27"/>
    </row>
    <row r="227" ht="15.75" customHeight="1">
      <c r="B227" s="27"/>
    </row>
    <row r="228" ht="15.75" customHeight="1">
      <c r="B228" s="27"/>
    </row>
    <row r="229" ht="15.75" customHeight="1">
      <c r="B229" s="27"/>
    </row>
    <row r="230" ht="15.75" customHeight="1">
      <c r="B230" s="27"/>
    </row>
    <row r="231" ht="15.75" customHeight="1">
      <c r="B231" s="27"/>
    </row>
    <row r="232" ht="15.75" customHeight="1">
      <c r="B232" s="27"/>
    </row>
    <row r="233" ht="15.75" customHeight="1">
      <c r="B233" s="27"/>
    </row>
    <row r="234" ht="15.75" customHeight="1">
      <c r="B234" s="27"/>
    </row>
    <row r="235" ht="15.75" customHeight="1">
      <c r="B235" s="27"/>
    </row>
    <row r="236" ht="15.75" customHeight="1">
      <c r="B236" s="27"/>
    </row>
    <row r="237" ht="15.75" customHeight="1">
      <c r="B237" s="27"/>
    </row>
    <row r="238" ht="15.75" customHeight="1">
      <c r="B238" s="27"/>
    </row>
    <row r="239" ht="15.75" customHeight="1">
      <c r="B239" s="27"/>
    </row>
    <row r="240" ht="15.75" customHeight="1">
      <c r="B240" s="27"/>
    </row>
    <row r="241" ht="15.75" customHeight="1">
      <c r="B241" s="27"/>
    </row>
    <row r="242" ht="15.75" customHeight="1">
      <c r="B242" s="27"/>
    </row>
    <row r="243" ht="15.75" customHeight="1">
      <c r="B243" s="27"/>
    </row>
    <row r="244" ht="15.75" customHeight="1">
      <c r="B244" s="27"/>
    </row>
    <row r="245" ht="15.75" customHeight="1">
      <c r="B245" s="27"/>
    </row>
    <row r="246" ht="15.75" customHeight="1">
      <c r="B246" s="27"/>
    </row>
    <row r="247" ht="15.75" customHeight="1">
      <c r="B247" s="27"/>
    </row>
    <row r="248" ht="15.75" customHeight="1">
      <c r="B248" s="27"/>
    </row>
    <row r="249" ht="15.75" customHeight="1">
      <c r="B249" s="27"/>
    </row>
    <row r="250" ht="15.75" customHeight="1">
      <c r="B250" s="27"/>
    </row>
    <row r="251" ht="15.75" customHeight="1">
      <c r="B251" s="27"/>
    </row>
    <row r="252" ht="15.75" customHeight="1">
      <c r="B252" s="27"/>
    </row>
    <row r="253" ht="15.75" customHeight="1">
      <c r="B253" s="27"/>
    </row>
    <row r="254" ht="15.75" customHeight="1">
      <c r="B254" s="27"/>
    </row>
    <row r="255" ht="15.75" customHeight="1">
      <c r="B255" s="27"/>
    </row>
    <row r="256" ht="15.75" customHeight="1">
      <c r="B256" s="27"/>
    </row>
    <row r="257" ht="15.75" customHeight="1">
      <c r="B257" s="27"/>
    </row>
    <row r="258" ht="15.75" customHeight="1">
      <c r="B258" s="27"/>
    </row>
    <row r="259" ht="15.75" customHeight="1">
      <c r="B259" s="27"/>
    </row>
    <row r="260" ht="15.75" customHeight="1">
      <c r="B260" s="27"/>
    </row>
    <row r="261" ht="15.75" customHeight="1">
      <c r="B261" s="27"/>
    </row>
    <row r="262" ht="15.75" customHeight="1">
      <c r="B262" s="27"/>
    </row>
    <row r="263" ht="15.75" customHeight="1">
      <c r="B263" s="27"/>
    </row>
    <row r="264" ht="15.75" customHeight="1">
      <c r="B264" s="27"/>
    </row>
    <row r="265" ht="15.75" customHeight="1">
      <c r="B265" s="27"/>
    </row>
    <row r="266" ht="15.75" customHeight="1">
      <c r="B266" s="27"/>
    </row>
    <row r="267" ht="15.75" customHeight="1">
      <c r="B267" s="27"/>
    </row>
    <row r="268" ht="15.75" customHeight="1">
      <c r="B268" s="27"/>
    </row>
    <row r="269" ht="15.75" customHeight="1">
      <c r="B269" s="27"/>
    </row>
    <row r="270" ht="15.75" customHeight="1">
      <c r="B270" s="27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autoFilter ref="$A$1:$B$16">
    <filterColumn colId="1">
      <filters blank="1"/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42.5"/>
    <col customWidth="1" min="3" max="3" width="10.13"/>
    <col customWidth="1" min="4" max="4" width="16.38"/>
    <col customWidth="1" min="6" max="6" width="19.75"/>
    <col customWidth="1" min="7" max="7" width="14.63"/>
    <col customWidth="1" min="8" max="8" width="16.5"/>
    <col customWidth="1" min="10" max="10" width="18.13"/>
  </cols>
  <sheetData>
    <row r="1">
      <c r="A1" s="6" t="s">
        <v>4</v>
      </c>
      <c r="B1" s="6" t="s">
        <v>8</v>
      </c>
      <c r="C1" s="6" t="s">
        <v>9</v>
      </c>
      <c r="D1" s="6" t="s">
        <v>10</v>
      </c>
      <c r="E1" s="8" t="s">
        <v>11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8" t="s">
        <v>20</v>
      </c>
      <c r="L1" s="13" t="s">
        <v>22</v>
      </c>
    </row>
    <row r="2">
      <c r="A2" s="15" t="s">
        <v>25</v>
      </c>
      <c r="B2" s="17" t="s">
        <v>30</v>
      </c>
      <c r="C2" s="25">
        <f>VLOOKUP(A2,'Hoja 2'!A:C,3,0)</f>
        <v>1</v>
      </c>
      <c r="D2" s="25" t="str">
        <f>VLOOKUP(A2,'Hoja 2'!A:D,4,0)</f>
        <v>Contrato 1</v>
      </c>
      <c r="E2" s="30">
        <v>0.0</v>
      </c>
      <c r="F2" s="31">
        <v>0.0</v>
      </c>
      <c r="G2" s="32">
        <v>0.0</v>
      </c>
      <c r="H2" s="33">
        <v>0.0</v>
      </c>
      <c r="I2" s="32">
        <v>0.0</v>
      </c>
      <c r="J2" s="32">
        <v>0.0</v>
      </c>
      <c r="K2" s="30">
        <v>5000.0</v>
      </c>
      <c r="L2" s="1" t="s">
        <v>53</v>
      </c>
    </row>
    <row r="3">
      <c r="A3" s="15" t="s">
        <v>62</v>
      </c>
      <c r="B3" s="17" t="s">
        <v>63</v>
      </c>
      <c r="C3" s="25">
        <f>VLOOKUP(A3,'Hoja 2'!A:C,3,0)</f>
        <v>1</v>
      </c>
      <c r="D3" s="25" t="str">
        <f>VLOOKUP(A3,'Hoja 2'!A:D,4,0)</f>
        <v>Contrato 1</v>
      </c>
      <c r="E3" s="30">
        <v>0.0</v>
      </c>
      <c r="F3" s="31">
        <v>0.0</v>
      </c>
      <c r="G3" s="32">
        <v>0.0</v>
      </c>
      <c r="H3" s="32">
        <v>0.0</v>
      </c>
      <c r="I3" s="32">
        <v>0.0</v>
      </c>
      <c r="J3" s="32">
        <v>0.0</v>
      </c>
      <c r="K3" s="30">
        <v>5000.0</v>
      </c>
      <c r="L3" s="1" t="s">
        <v>53</v>
      </c>
    </row>
    <row r="4">
      <c r="A4" s="35" t="s">
        <v>64</v>
      </c>
      <c r="B4" s="17" t="s">
        <v>65</v>
      </c>
      <c r="C4" s="25">
        <f>VLOOKUP(A4,'Hoja 2'!A:C,3,0)</f>
        <v>1</v>
      </c>
      <c r="D4" s="25" t="str">
        <f>VLOOKUP(A4,'Hoja 2'!A:D,4,0)</f>
        <v>Contrato 1</v>
      </c>
      <c r="E4" s="30">
        <v>0.0</v>
      </c>
      <c r="F4" s="31">
        <v>0.0</v>
      </c>
      <c r="G4" s="32">
        <v>0.0</v>
      </c>
      <c r="H4" s="32">
        <v>0.0</v>
      </c>
      <c r="I4" s="32">
        <v>0.0</v>
      </c>
      <c r="J4" s="32">
        <v>0.0</v>
      </c>
      <c r="K4" s="30">
        <v>5000.0</v>
      </c>
      <c r="L4" s="1" t="s">
        <v>53</v>
      </c>
    </row>
    <row r="5">
      <c r="A5" s="23" t="s">
        <v>66</v>
      </c>
      <c r="B5" s="17" t="s">
        <v>67</v>
      </c>
      <c r="C5" s="25">
        <f>VLOOKUP(A5,'Hoja 2'!A:C,3,0)</f>
        <v>1</v>
      </c>
      <c r="D5" s="25" t="str">
        <f>VLOOKUP(A5,'Hoja 2'!A:D,4,0)</f>
        <v>Contrato 1</v>
      </c>
      <c r="E5" s="30">
        <v>0.0</v>
      </c>
      <c r="F5" s="31">
        <v>0.0</v>
      </c>
      <c r="G5" s="32">
        <v>0.0</v>
      </c>
      <c r="H5" s="32">
        <v>0.0</v>
      </c>
      <c r="I5" s="32">
        <v>0.0</v>
      </c>
      <c r="J5" s="32">
        <v>0.0</v>
      </c>
      <c r="K5" s="30">
        <v>5000.0</v>
      </c>
      <c r="L5" s="1" t="s">
        <v>53</v>
      </c>
    </row>
    <row r="6">
      <c r="A6" s="23" t="s">
        <v>68</v>
      </c>
      <c r="B6" s="17" t="s">
        <v>69</v>
      </c>
      <c r="C6" s="25">
        <f>VLOOKUP(A6,'Hoja 2'!A:C,3,0)</f>
        <v>1</v>
      </c>
      <c r="D6" s="25" t="str">
        <f>VLOOKUP(A6,'Hoja 2'!A:D,4,0)</f>
        <v>Contrato 1</v>
      </c>
      <c r="E6" s="30">
        <v>0.0</v>
      </c>
      <c r="F6" s="31">
        <v>0.0</v>
      </c>
      <c r="G6" s="32">
        <v>0.0</v>
      </c>
      <c r="H6" s="32">
        <v>0.0</v>
      </c>
      <c r="I6" s="32">
        <v>0.0</v>
      </c>
      <c r="J6" s="32">
        <v>0.0</v>
      </c>
      <c r="K6" s="30">
        <v>5000.0</v>
      </c>
      <c r="L6" s="1" t="s">
        <v>53</v>
      </c>
    </row>
    <row r="7">
      <c r="A7" s="23" t="s">
        <v>70</v>
      </c>
      <c r="B7" s="17" t="s">
        <v>71</v>
      </c>
      <c r="C7" s="25">
        <f>VLOOKUP(A7,'Hoja 2'!A:C,3,0)</f>
        <v>1</v>
      </c>
      <c r="D7" s="25" t="str">
        <f>VLOOKUP(A7,'Hoja 2'!A:D,4,0)</f>
        <v>Contrato 1</v>
      </c>
      <c r="E7" s="30">
        <v>0.0</v>
      </c>
      <c r="F7" s="31">
        <v>0.0</v>
      </c>
      <c r="G7" s="32">
        <v>0.0</v>
      </c>
      <c r="H7" s="32">
        <v>0.0</v>
      </c>
      <c r="I7" s="32">
        <v>0.0</v>
      </c>
      <c r="J7" s="32">
        <v>0.0</v>
      </c>
      <c r="K7" s="30">
        <v>5000.0</v>
      </c>
      <c r="L7" s="1" t="s">
        <v>53</v>
      </c>
    </row>
    <row r="8">
      <c r="A8" s="23" t="s">
        <v>73</v>
      </c>
      <c r="B8" s="17" t="s">
        <v>72</v>
      </c>
      <c r="C8" s="25">
        <f>VLOOKUP(A8,'Hoja 2'!A:C,3,0)</f>
        <v>1</v>
      </c>
      <c r="D8" s="25" t="str">
        <f>VLOOKUP(A8,'Hoja 2'!A:D,4,0)</f>
        <v>Contrato 1</v>
      </c>
      <c r="E8" s="30">
        <v>0.0</v>
      </c>
      <c r="F8" s="31">
        <v>0.0</v>
      </c>
      <c r="G8" s="32">
        <v>0.0</v>
      </c>
      <c r="H8" s="32">
        <v>0.0</v>
      </c>
      <c r="I8" s="32">
        <v>0.0</v>
      </c>
      <c r="J8" s="32">
        <v>0.0</v>
      </c>
      <c r="K8" s="30">
        <v>5000.0</v>
      </c>
      <c r="L8" s="1" t="s">
        <v>53</v>
      </c>
    </row>
    <row r="9">
      <c r="A9" s="23" t="s">
        <v>75</v>
      </c>
      <c r="B9" s="17" t="s">
        <v>74</v>
      </c>
      <c r="C9" s="25">
        <f>VLOOKUP(A9,'Hoja 2'!A:C,3,0)</f>
        <v>1</v>
      </c>
      <c r="D9" s="25" t="str">
        <f>VLOOKUP(A9,'Hoja 2'!A:D,4,0)</f>
        <v>Contrato 1</v>
      </c>
      <c r="E9" s="30">
        <v>0.0</v>
      </c>
      <c r="F9" s="31">
        <v>0.0</v>
      </c>
      <c r="G9" s="32">
        <v>0.0</v>
      </c>
      <c r="H9" s="32">
        <v>0.0</v>
      </c>
      <c r="I9" s="32">
        <v>0.0</v>
      </c>
      <c r="J9" s="32">
        <v>0.0</v>
      </c>
      <c r="K9" s="30">
        <v>5000.0</v>
      </c>
      <c r="L9" s="1" t="s">
        <v>53</v>
      </c>
    </row>
    <row r="10">
      <c r="A10" s="23" t="s">
        <v>77</v>
      </c>
      <c r="B10" s="17" t="s">
        <v>76</v>
      </c>
      <c r="C10" s="25">
        <f>VLOOKUP(A10,'Hoja 2'!A:C,3,0)</f>
        <v>1</v>
      </c>
      <c r="D10" s="25" t="str">
        <f>VLOOKUP(A10,'Hoja 2'!A:D,4,0)</f>
        <v>Contrato 1</v>
      </c>
      <c r="E10" s="30">
        <v>0.0</v>
      </c>
      <c r="F10" s="31">
        <v>0.0</v>
      </c>
      <c r="G10" s="32">
        <v>0.0</v>
      </c>
      <c r="H10" s="32">
        <v>0.0</v>
      </c>
      <c r="I10" s="32">
        <v>0.0</v>
      </c>
      <c r="J10" s="32">
        <v>0.0</v>
      </c>
      <c r="K10" s="30">
        <v>5000.0</v>
      </c>
      <c r="L10" s="1" t="s">
        <v>53</v>
      </c>
    </row>
    <row r="11">
      <c r="A11" s="23" t="s">
        <v>79</v>
      </c>
      <c r="B11" s="17" t="s">
        <v>78</v>
      </c>
      <c r="C11" s="25">
        <f>VLOOKUP(A11,'Hoja 2'!A:C,3,0)</f>
        <v>1</v>
      </c>
      <c r="D11" s="25" t="str">
        <f>VLOOKUP(A11,'Hoja 2'!A:D,4,0)</f>
        <v>Contrato 1</v>
      </c>
      <c r="E11" s="30">
        <v>0.0</v>
      </c>
      <c r="F11" s="31">
        <v>0.0</v>
      </c>
      <c r="G11" s="32">
        <v>0.0</v>
      </c>
      <c r="H11" s="32">
        <v>0.0</v>
      </c>
      <c r="I11" s="32">
        <v>0.0</v>
      </c>
      <c r="J11" s="32">
        <v>0.0</v>
      </c>
      <c r="K11" s="30">
        <v>5000.0</v>
      </c>
      <c r="L11" s="1" t="s">
        <v>53</v>
      </c>
    </row>
    <row r="12">
      <c r="A12" s="23" t="s">
        <v>93</v>
      </c>
      <c r="B12" s="17" t="s">
        <v>95</v>
      </c>
      <c r="C12" s="25">
        <f>VLOOKUP(A12,'Hoja 2'!A:C,3,0)</f>
        <v>1</v>
      </c>
      <c r="D12" s="25" t="str">
        <f>VLOOKUP(A12,'Hoja 2'!A:D,4,0)</f>
        <v>Contrato 1</v>
      </c>
      <c r="E12" s="30">
        <v>0.0</v>
      </c>
      <c r="F12" s="31">
        <v>0.0</v>
      </c>
      <c r="G12" s="32">
        <v>0.0</v>
      </c>
      <c r="H12" s="32">
        <v>0.0</v>
      </c>
      <c r="I12" s="32">
        <v>0.0</v>
      </c>
      <c r="J12" s="32">
        <v>0.0</v>
      </c>
      <c r="K12" s="30">
        <v>5000.0</v>
      </c>
      <c r="L12" s="1" t="s">
        <v>53</v>
      </c>
    </row>
    <row r="13">
      <c r="A13" s="23" t="s">
        <v>106</v>
      </c>
      <c r="B13" s="17" t="s">
        <v>108</v>
      </c>
      <c r="C13" s="25">
        <f>VLOOKUP(A13,'Hoja 2'!A:C,3,0)</f>
        <v>1</v>
      </c>
      <c r="D13" s="25" t="str">
        <f>VLOOKUP(A13,'Hoja 2'!A:D,4,0)</f>
        <v>Contrato 1</v>
      </c>
      <c r="E13" s="30">
        <v>0.0</v>
      </c>
      <c r="F13" s="31">
        <v>0.0</v>
      </c>
      <c r="G13" s="32">
        <v>0.0</v>
      </c>
      <c r="H13" s="32">
        <v>0.0</v>
      </c>
      <c r="I13" s="32">
        <v>0.0</v>
      </c>
      <c r="J13" s="32">
        <v>0.0</v>
      </c>
      <c r="K13" s="30">
        <v>5000.0</v>
      </c>
      <c r="L13" s="1" t="s">
        <v>53</v>
      </c>
    </row>
    <row r="14">
      <c r="A14" s="23" t="s">
        <v>121</v>
      </c>
      <c r="B14" s="17" t="s">
        <v>122</v>
      </c>
      <c r="C14" s="25">
        <f>VLOOKUP(A14,'Hoja 2'!A:C,3,0)</f>
        <v>1</v>
      </c>
      <c r="D14" s="25" t="str">
        <f>VLOOKUP(A14,'Hoja 2'!A:D,4,0)</f>
        <v>Contrato 1</v>
      </c>
      <c r="E14" s="30">
        <v>0.0</v>
      </c>
      <c r="F14" s="31">
        <v>0.0</v>
      </c>
      <c r="G14" s="32">
        <v>0.0</v>
      </c>
      <c r="H14" s="32">
        <v>0.0</v>
      </c>
      <c r="I14" s="32">
        <v>0.0</v>
      </c>
      <c r="J14" s="32">
        <v>0.0</v>
      </c>
      <c r="K14" s="30">
        <v>5000.0</v>
      </c>
      <c r="L14" s="1" t="s">
        <v>53</v>
      </c>
    </row>
    <row r="15">
      <c r="A15" s="23" t="s">
        <v>91</v>
      </c>
      <c r="B15" s="17" t="s">
        <v>130</v>
      </c>
      <c r="C15" s="25">
        <f>VLOOKUP(A15,'Hoja 2'!A:C,3,0)</f>
        <v>1</v>
      </c>
      <c r="D15" s="25" t="str">
        <f>VLOOKUP(A15,'Hoja 2'!A:D,4,0)</f>
        <v>Contrato 1</v>
      </c>
      <c r="E15" s="30">
        <v>0.0</v>
      </c>
      <c r="F15" s="31">
        <v>0.0</v>
      </c>
      <c r="G15" s="32">
        <v>0.0</v>
      </c>
      <c r="H15" s="32">
        <v>0.0</v>
      </c>
      <c r="I15" s="32">
        <v>0.0</v>
      </c>
      <c r="J15" s="32">
        <v>0.0</v>
      </c>
      <c r="K15" s="30">
        <v>5000.0</v>
      </c>
      <c r="L15" s="1" t="s">
        <v>53</v>
      </c>
    </row>
    <row r="16">
      <c r="A16" s="23" t="s">
        <v>142</v>
      </c>
      <c r="B16" s="17" t="s">
        <v>141</v>
      </c>
      <c r="C16" s="25">
        <f>VLOOKUP(A16,'Hoja 2'!A:C,3,0)</f>
        <v>1</v>
      </c>
      <c r="D16" s="25" t="str">
        <f>VLOOKUP(A16,'Hoja 2'!A:D,4,0)</f>
        <v>Contrato 1</v>
      </c>
      <c r="E16" s="30">
        <v>0.0</v>
      </c>
      <c r="F16" s="31">
        <v>0.0</v>
      </c>
      <c r="G16" s="32">
        <v>0.0</v>
      </c>
      <c r="H16" s="32">
        <v>0.0</v>
      </c>
      <c r="I16" s="32">
        <v>0.0</v>
      </c>
      <c r="J16" s="32">
        <v>0.0</v>
      </c>
      <c r="K16" s="30">
        <v>5000.0</v>
      </c>
      <c r="L16" s="1" t="s">
        <v>53</v>
      </c>
    </row>
    <row r="17">
      <c r="A17" s="23" t="s">
        <v>156</v>
      </c>
      <c r="B17" s="17" t="s">
        <v>155</v>
      </c>
      <c r="C17" s="25">
        <f>VLOOKUP(A17,'Hoja 2'!A:C,3,0)</f>
        <v>1</v>
      </c>
      <c r="D17" s="25" t="str">
        <f>VLOOKUP(A17,'Hoja 2'!A:D,4,0)</f>
        <v>Contrato 1</v>
      </c>
      <c r="E17" s="30">
        <v>0.0</v>
      </c>
      <c r="F17" s="31">
        <v>0.0</v>
      </c>
      <c r="G17" s="32">
        <v>0.0</v>
      </c>
      <c r="H17" s="32">
        <v>0.0</v>
      </c>
      <c r="I17" s="32">
        <v>0.0</v>
      </c>
      <c r="J17" s="32">
        <v>0.0</v>
      </c>
      <c r="K17" s="31">
        <v>0.0</v>
      </c>
      <c r="L17" s="1"/>
    </row>
    <row r="18">
      <c r="A18" s="23" t="s">
        <v>168</v>
      </c>
      <c r="B18" s="17" t="s">
        <v>166</v>
      </c>
      <c r="C18" s="25">
        <f>VLOOKUP(A18,'Hoja 2'!A:C,3,0)</f>
        <v>1</v>
      </c>
      <c r="D18" s="25" t="str">
        <f>VLOOKUP(A18,'Hoja 2'!A:D,4,0)</f>
        <v>Contrato 1</v>
      </c>
      <c r="E18" s="30">
        <v>0.0</v>
      </c>
      <c r="F18" s="31">
        <v>0.0</v>
      </c>
      <c r="G18" s="32">
        <v>0.0</v>
      </c>
      <c r="H18" s="32">
        <v>0.0</v>
      </c>
      <c r="I18" s="32">
        <v>0.0</v>
      </c>
      <c r="J18" s="32">
        <v>0.0</v>
      </c>
      <c r="K18" s="31">
        <v>0.0</v>
      </c>
      <c r="L18" s="1"/>
    </row>
    <row r="19">
      <c r="A19" s="23" t="s">
        <v>140</v>
      </c>
      <c r="B19" s="17" t="s">
        <v>181</v>
      </c>
      <c r="C19" s="25">
        <f>VLOOKUP(A19,'Hoja 2'!A:C,3,0)</f>
        <v>1</v>
      </c>
      <c r="D19" s="25" t="str">
        <f>VLOOKUP(A19,'Hoja 2'!A:D,4,0)</f>
        <v>Contrato 1</v>
      </c>
      <c r="E19" s="30">
        <v>0.0</v>
      </c>
      <c r="F19" s="31">
        <v>0.0</v>
      </c>
      <c r="G19" s="32">
        <v>0.0</v>
      </c>
      <c r="H19" s="32">
        <v>0.0</v>
      </c>
      <c r="I19" s="32">
        <v>0.0</v>
      </c>
      <c r="J19" s="30">
        <v>2000.0</v>
      </c>
      <c r="K19" s="31">
        <v>0.0</v>
      </c>
      <c r="L19" s="1"/>
    </row>
    <row r="20">
      <c r="A20" s="23" t="s">
        <v>198</v>
      </c>
      <c r="B20" s="17" t="s">
        <v>195</v>
      </c>
      <c r="C20" s="25">
        <f>VLOOKUP(A20,'Hoja 2'!A:C,3,0)</f>
        <v>1</v>
      </c>
      <c r="D20" s="25" t="str">
        <f>VLOOKUP(A20,'Hoja 2'!A:D,4,0)</f>
        <v>Contrato 1</v>
      </c>
      <c r="E20" s="30">
        <v>0.0</v>
      </c>
      <c r="F20" s="31">
        <v>0.0</v>
      </c>
      <c r="G20" s="32">
        <v>0.0</v>
      </c>
      <c r="H20" s="32">
        <v>0.0</v>
      </c>
      <c r="I20" s="32">
        <v>0.0</v>
      </c>
      <c r="J20" s="30">
        <v>2000.0</v>
      </c>
      <c r="K20" s="31">
        <v>0.0</v>
      </c>
      <c r="L20" s="1"/>
    </row>
    <row r="21">
      <c r="A21" s="23" t="s">
        <v>144</v>
      </c>
      <c r="B21" s="17" t="s">
        <v>211</v>
      </c>
      <c r="C21" s="25">
        <f>VLOOKUP(A21,'Hoja 2'!A:C,3,0)</f>
        <v>1</v>
      </c>
      <c r="D21" s="25" t="str">
        <f>VLOOKUP(A21,'Hoja 2'!A:D,4,0)</f>
        <v>Contrato 1</v>
      </c>
      <c r="E21" s="30">
        <v>0.0</v>
      </c>
      <c r="F21" s="31">
        <v>0.0</v>
      </c>
      <c r="G21" s="32">
        <v>0.0</v>
      </c>
      <c r="H21" s="32">
        <v>0.0</v>
      </c>
      <c r="I21" s="32">
        <v>0.0</v>
      </c>
      <c r="J21" s="30">
        <v>2000.0</v>
      </c>
      <c r="K21" s="31">
        <v>0.0</v>
      </c>
      <c r="L21" s="1"/>
    </row>
    <row r="22">
      <c r="A22" s="23" t="s">
        <v>229</v>
      </c>
      <c r="B22" s="17" t="s">
        <v>227</v>
      </c>
      <c r="C22" s="25">
        <f>VLOOKUP(A22,'Hoja 2'!A:C,3,0)</f>
        <v>1</v>
      </c>
      <c r="D22" s="25" t="str">
        <f>VLOOKUP(A22,'Hoja 2'!A:D,4,0)</f>
        <v>Contrato Manipuladora</v>
      </c>
      <c r="E22" s="30">
        <v>0.0</v>
      </c>
      <c r="F22" s="31">
        <v>0.0</v>
      </c>
      <c r="G22" s="32">
        <v>0.0</v>
      </c>
      <c r="H22" s="32">
        <v>0.0</v>
      </c>
      <c r="I22" s="32">
        <v>0.0</v>
      </c>
      <c r="J22" s="30">
        <v>2000.0</v>
      </c>
      <c r="K22" s="31">
        <v>0.0</v>
      </c>
      <c r="L22" s="1"/>
    </row>
    <row r="23">
      <c r="A23" s="23" t="s">
        <v>87</v>
      </c>
      <c r="B23" s="17" t="s">
        <v>246</v>
      </c>
      <c r="C23" s="25">
        <f>VLOOKUP(A23,'Hoja 2'!A:C,3,0)</f>
        <v>1</v>
      </c>
      <c r="D23" s="25" t="str">
        <f>VLOOKUP(A23,'Hoja 2'!A:D,4,0)</f>
        <v>Contrato 1</v>
      </c>
      <c r="E23" s="30">
        <v>0.0</v>
      </c>
      <c r="F23" s="31">
        <v>0.0</v>
      </c>
      <c r="G23" s="32">
        <v>0.0</v>
      </c>
      <c r="H23" s="32">
        <v>0.0</v>
      </c>
      <c r="I23" s="32">
        <v>0.0</v>
      </c>
      <c r="J23" s="30">
        <v>2000.0</v>
      </c>
      <c r="K23" s="31">
        <v>0.0</v>
      </c>
      <c r="L23" s="1"/>
    </row>
    <row r="24">
      <c r="A24" s="23" t="s">
        <v>262</v>
      </c>
      <c r="B24" s="17" t="s">
        <v>259</v>
      </c>
      <c r="C24" s="25">
        <f>VLOOKUP(A24,'Hoja 2'!A:C,3,0)</f>
        <v>1</v>
      </c>
      <c r="D24" s="25" t="str">
        <f>VLOOKUP(A24,'Hoja 2'!A:D,4,0)</f>
        <v>Contrato 1</v>
      </c>
      <c r="E24" s="30">
        <v>0.0</v>
      </c>
      <c r="F24" s="31">
        <v>0.0</v>
      </c>
      <c r="G24" s="32">
        <v>0.0</v>
      </c>
      <c r="H24" s="32">
        <v>0.0</v>
      </c>
      <c r="I24" s="32">
        <v>0.0</v>
      </c>
      <c r="J24" s="30">
        <v>2000.0</v>
      </c>
      <c r="K24" s="31">
        <v>0.0</v>
      </c>
      <c r="L24" s="1"/>
    </row>
    <row r="25">
      <c r="A25" s="23" t="s">
        <v>276</v>
      </c>
      <c r="B25" s="17" t="s">
        <v>275</v>
      </c>
      <c r="C25" s="25">
        <f>VLOOKUP(A25,'Hoja 2'!A:C,3,0)</f>
        <v>1</v>
      </c>
      <c r="D25" s="25" t="str">
        <f>VLOOKUP(A25,'Hoja 2'!A:D,4,0)</f>
        <v>Contrato 1</v>
      </c>
      <c r="E25" s="30">
        <v>0.0</v>
      </c>
      <c r="F25" s="31">
        <v>0.0</v>
      </c>
      <c r="G25" s="32">
        <v>0.0</v>
      </c>
      <c r="H25" s="32">
        <v>0.0</v>
      </c>
      <c r="I25" s="32">
        <v>0.0</v>
      </c>
      <c r="J25" s="30">
        <v>2000.0</v>
      </c>
      <c r="K25" s="31">
        <v>0.0</v>
      </c>
      <c r="L25" s="1"/>
    </row>
    <row r="26">
      <c r="A26" s="23" t="s">
        <v>279</v>
      </c>
      <c r="B26" s="17" t="s">
        <v>289</v>
      </c>
      <c r="C26" s="25">
        <f>VLOOKUP(A26,'Hoja 2'!A:C,3,0)</f>
        <v>1</v>
      </c>
      <c r="D26" s="25" t="str">
        <f>VLOOKUP(A26,'Hoja 2'!A:D,4,0)</f>
        <v>Contrato 1</v>
      </c>
      <c r="E26" s="30">
        <v>0.0</v>
      </c>
      <c r="F26" s="31">
        <v>0.0</v>
      </c>
      <c r="G26" s="32">
        <v>0.0</v>
      </c>
      <c r="H26" s="32">
        <v>0.0</v>
      </c>
      <c r="I26" s="32">
        <v>0.0</v>
      </c>
      <c r="J26" s="30">
        <v>2000.0</v>
      </c>
      <c r="K26" s="31">
        <v>0.0</v>
      </c>
      <c r="L26" s="1"/>
    </row>
    <row r="27">
      <c r="A27" s="23" t="s">
        <v>151</v>
      </c>
      <c r="B27" s="17" t="s">
        <v>301</v>
      </c>
      <c r="C27" s="25">
        <f>VLOOKUP(A27,'Hoja 2'!A:C,3,0)</f>
        <v>1</v>
      </c>
      <c r="D27" s="25" t="str">
        <f>VLOOKUP(A27,'Hoja 2'!A:D,4,0)</f>
        <v>Contrato 1</v>
      </c>
      <c r="E27" s="30">
        <v>0.0</v>
      </c>
      <c r="F27" s="31">
        <v>0.0</v>
      </c>
      <c r="G27" s="32">
        <v>0.0</v>
      </c>
      <c r="H27" s="32">
        <v>0.0</v>
      </c>
      <c r="I27" s="32">
        <v>0.0</v>
      </c>
      <c r="J27" s="30">
        <v>2000.0</v>
      </c>
      <c r="K27" s="31">
        <v>0.0</v>
      </c>
      <c r="L27" s="1"/>
    </row>
    <row r="28">
      <c r="A28" s="23" t="s">
        <v>319</v>
      </c>
      <c r="B28" s="17" t="s">
        <v>316</v>
      </c>
      <c r="C28" s="25">
        <f>VLOOKUP(A28,'Hoja 2'!A:C,3,0)</f>
        <v>1</v>
      </c>
      <c r="D28" s="25" t="str">
        <f>VLOOKUP(A28,'Hoja 2'!A:D,4,0)</f>
        <v>Contrato 1</v>
      </c>
      <c r="E28" s="30">
        <v>0.0</v>
      </c>
      <c r="F28" s="31">
        <v>0.0</v>
      </c>
      <c r="G28" s="32">
        <v>0.0</v>
      </c>
      <c r="H28" s="32">
        <v>0.0</v>
      </c>
      <c r="I28" s="32">
        <v>0.0</v>
      </c>
      <c r="J28" s="30">
        <v>2000.0</v>
      </c>
      <c r="K28" s="31">
        <v>0.0</v>
      </c>
      <c r="L28" s="1"/>
    </row>
    <row r="29">
      <c r="A29" s="23" t="s">
        <v>330</v>
      </c>
      <c r="B29" s="17" t="s">
        <v>329</v>
      </c>
      <c r="C29" s="25">
        <f>VLOOKUP(A29,'Hoja 2'!A:C,3,0)</f>
        <v>1</v>
      </c>
      <c r="D29" s="25" t="str">
        <f>VLOOKUP(A29,'Hoja 2'!A:D,4,0)</f>
        <v>Contrato 1</v>
      </c>
      <c r="E29" s="30">
        <v>0.0</v>
      </c>
      <c r="F29" s="31">
        <v>0.0</v>
      </c>
      <c r="G29" s="32">
        <v>0.0</v>
      </c>
      <c r="H29" s="32">
        <v>0.0</v>
      </c>
      <c r="I29" s="32">
        <v>0.0</v>
      </c>
      <c r="J29" s="30">
        <v>2000.0</v>
      </c>
      <c r="K29" s="31">
        <v>0.0</v>
      </c>
      <c r="L29" s="1"/>
    </row>
    <row r="30">
      <c r="A30" s="23" t="s">
        <v>232</v>
      </c>
      <c r="B30" s="17" t="s">
        <v>339</v>
      </c>
      <c r="C30" s="25">
        <f>VLOOKUP(A30,'Hoja 2'!A:C,3,0)</f>
        <v>1</v>
      </c>
      <c r="D30" s="25" t="str">
        <f>VLOOKUP(A30,'Hoja 2'!A:D,4,0)</f>
        <v>Contrato 1</v>
      </c>
      <c r="E30" s="30">
        <v>0.0</v>
      </c>
      <c r="F30" s="31">
        <v>0.0</v>
      </c>
      <c r="G30" s="32">
        <v>0.0</v>
      </c>
      <c r="H30" s="32">
        <v>0.0</v>
      </c>
      <c r="I30" s="32">
        <v>0.0</v>
      </c>
      <c r="J30" s="30">
        <v>2000.0</v>
      </c>
      <c r="K30" s="31">
        <v>0.0</v>
      </c>
      <c r="L30" s="1"/>
    </row>
    <row r="31">
      <c r="A31" s="23" t="s">
        <v>351</v>
      </c>
      <c r="B31" s="17" t="s">
        <v>349</v>
      </c>
      <c r="C31" s="25">
        <f>VLOOKUP(A31,'Hoja 2'!A:C,3,0)</f>
        <v>1</v>
      </c>
      <c r="D31" s="25" t="str">
        <f>VLOOKUP(A31,'Hoja 2'!A:D,4,0)</f>
        <v>Contrato 1</v>
      </c>
      <c r="E31" s="30">
        <v>0.0</v>
      </c>
      <c r="F31" s="31">
        <v>0.0</v>
      </c>
      <c r="G31" s="32">
        <v>0.0</v>
      </c>
      <c r="H31" s="32">
        <v>0.0</v>
      </c>
      <c r="I31" s="32">
        <v>0.0</v>
      </c>
      <c r="J31" s="30">
        <v>2000.0</v>
      </c>
      <c r="K31" s="31">
        <v>0.0</v>
      </c>
      <c r="L31" s="1"/>
    </row>
    <row r="32">
      <c r="A32" s="23" t="s">
        <v>363</v>
      </c>
      <c r="B32" s="17" t="s">
        <v>360</v>
      </c>
      <c r="C32" s="25">
        <f>VLOOKUP(A32,'Hoja 2'!A:C,3,0)</f>
        <v>1</v>
      </c>
      <c r="D32" s="25" t="str">
        <f>VLOOKUP(A32,'Hoja 2'!A:D,4,0)</f>
        <v>Contrato 1</v>
      </c>
      <c r="E32" s="30">
        <v>0.0</v>
      </c>
      <c r="F32" s="31">
        <v>0.0</v>
      </c>
      <c r="G32" s="32">
        <v>0.0</v>
      </c>
      <c r="H32" s="32">
        <v>0.0</v>
      </c>
      <c r="I32" s="32">
        <v>0.0</v>
      </c>
      <c r="J32" s="30">
        <v>2000.0</v>
      </c>
      <c r="K32" s="31">
        <v>0.0</v>
      </c>
      <c r="L32" s="1"/>
    </row>
    <row r="33">
      <c r="A33" s="23" t="s">
        <v>380</v>
      </c>
      <c r="B33" s="17" t="s">
        <v>378</v>
      </c>
      <c r="C33" s="25">
        <f>VLOOKUP(A33,'Hoja 2'!A:C,3,0)</f>
        <v>1</v>
      </c>
      <c r="D33" s="25" t="str">
        <f>VLOOKUP(A33,'Hoja 2'!A:D,4,0)</f>
        <v>Contrato 1</v>
      </c>
      <c r="E33" s="30">
        <v>0.0</v>
      </c>
      <c r="F33" s="31">
        <v>0.0</v>
      </c>
      <c r="G33" s="32">
        <v>0.0</v>
      </c>
      <c r="H33" s="32">
        <v>0.0</v>
      </c>
      <c r="I33" s="32">
        <v>0.0</v>
      </c>
      <c r="J33" s="30">
        <v>2000.0</v>
      </c>
      <c r="K33" s="31">
        <v>0.0</v>
      </c>
      <c r="L33" s="1"/>
    </row>
    <row r="34">
      <c r="A34" s="23" t="s">
        <v>392</v>
      </c>
      <c r="B34" s="17" t="s">
        <v>390</v>
      </c>
      <c r="C34" s="25">
        <f>VLOOKUP(A34,'Hoja 2'!A:C,3,0)</f>
        <v>1</v>
      </c>
      <c r="D34" s="25" t="str">
        <f>VLOOKUP(A34,'Hoja 2'!A:D,4,0)</f>
        <v>Contrato 1</v>
      </c>
      <c r="E34" s="30">
        <v>0.0</v>
      </c>
      <c r="F34" s="31">
        <v>0.0</v>
      </c>
      <c r="G34" s="32">
        <v>0.0</v>
      </c>
      <c r="H34" s="32">
        <v>0.0</v>
      </c>
      <c r="I34" s="32">
        <v>0.0</v>
      </c>
      <c r="J34" s="30">
        <v>2000.0</v>
      </c>
      <c r="K34" s="31">
        <v>0.0</v>
      </c>
      <c r="L34" s="1"/>
    </row>
    <row r="35">
      <c r="A35" s="23" t="s">
        <v>403</v>
      </c>
      <c r="B35" s="17" t="s">
        <v>402</v>
      </c>
      <c r="C35" s="25">
        <f>VLOOKUP(A35,'Hoja 2'!A:C,3,0)</f>
        <v>1</v>
      </c>
      <c r="D35" s="25" t="str">
        <f>VLOOKUP(A35,'Hoja 2'!A:D,4,0)</f>
        <v>Contrato 1</v>
      </c>
      <c r="E35" s="30">
        <v>0.0</v>
      </c>
      <c r="F35" s="31">
        <v>0.0</v>
      </c>
      <c r="G35" s="32">
        <v>0.0</v>
      </c>
      <c r="H35" s="32">
        <v>0.0</v>
      </c>
      <c r="I35" s="32">
        <v>0.0</v>
      </c>
      <c r="J35" s="30">
        <v>2000.0</v>
      </c>
      <c r="K35" s="31">
        <v>0.0</v>
      </c>
      <c r="L35" s="1"/>
    </row>
    <row r="36">
      <c r="A36" s="23" t="s">
        <v>417</v>
      </c>
      <c r="B36" s="17" t="s">
        <v>415</v>
      </c>
      <c r="C36" s="25">
        <f>VLOOKUP(A36,'Hoja 2'!A:C,3,0)</f>
        <v>2</v>
      </c>
      <c r="D36" s="25" t="str">
        <f>VLOOKUP(A36,'Hoja 2'!A:D,4,0)</f>
        <v>Contrato Manipuladora</v>
      </c>
      <c r="E36" s="30">
        <v>0.0</v>
      </c>
      <c r="F36" s="31">
        <v>0.0</v>
      </c>
      <c r="G36" s="32">
        <v>0.0</v>
      </c>
      <c r="H36" s="32">
        <v>0.0</v>
      </c>
      <c r="I36" s="32">
        <v>0.0</v>
      </c>
      <c r="J36" s="30">
        <v>2000.0</v>
      </c>
      <c r="K36" s="31">
        <v>0.0</v>
      </c>
      <c r="L36" s="1"/>
    </row>
    <row r="37">
      <c r="A37" s="23" t="s">
        <v>432</v>
      </c>
      <c r="B37" s="17" t="s">
        <v>430</v>
      </c>
      <c r="C37" s="25">
        <f>VLOOKUP(A37,'Hoja 2'!A:C,3,0)</f>
        <v>1</v>
      </c>
      <c r="D37" s="25" t="str">
        <f>VLOOKUP(A37,'Hoja 2'!A:D,4,0)</f>
        <v>Contrato 1</v>
      </c>
      <c r="E37" s="30">
        <v>0.0</v>
      </c>
      <c r="F37" s="31">
        <v>0.0</v>
      </c>
      <c r="G37" s="32">
        <v>0.0</v>
      </c>
      <c r="H37" s="32">
        <v>0.0</v>
      </c>
      <c r="I37" s="32">
        <v>0.0</v>
      </c>
      <c r="J37" s="30">
        <v>0.0</v>
      </c>
      <c r="K37" s="31">
        <v>0.0</v>
      </c>
      <c r="L37" s="1"/>
    </row>
    <row r="38">
      <c r="A38" s="23" t="s">
        <v>445</v>
      </c>
      <c r="B38" s="17" t="s">
        <v>443</v>
      </c>
      <c r="C38" s="25">
        <f>VLOOKUP(A38,'Hoja 2'!A:C,3,0)</f>
        <v>1</v>
      </c>
      <c r="D38" s="25" t="str">
        <f>VLOOKUP(A38,'Hoja 2'!A:D,4,0)</f>
        <v>Contrato 1</v>
      </c>
      <c r="E38" s="30">
        <v>0.0</v>
      </c>
      <c r="F38" s="31">
        <v>0.0</v>
      </c>
      <c r="G38" s="32">
        <v>0.0</v>
      </c>
      <c r="H38" s="32">
        <v>0.0</v>
      </c>
      <c r="I38" s="32">
        <v>0.0</v>
      </c>
      <c r="J38" s="30">
        <v>0.0</v>
      </c>
      <c r="K38" s="31">
        <v>0.0</v>
      </c>
      <c r="L38" s="1"/>
    </row>
    <row r="39">
      <c r="A39" s="23" t="s">
        <v>463</v>
      </c>
      <c r="B39" s="17" t="s">
        <v>462</v>
      </c>
      <c r="C39" s="25">
        <f>VLOOKUP(A39,'Hoja 2'!A:C,3,0)</f>
        <v>1</v>
      </c>
      <c r="D39" s="25" t="str">
        <f>VLOOKUP(A39,'Hoja 2'!A:D,4,0)</f>
        <v>Contrato 1</v>
      </c>
      <c r="E39" s="30">
        <v>0.0</v>
      </c>
      <c r="F39" s="31">
        <v>0.0</v>
      </c>
      <c r="G39" s="32">
        <v>0.0</v>
      </c>
      <c r="H39" s="32">
        <v>0.0</v>
      </c>
      <c r="I39" s="32">
        <v>0.0</v>
      </c>
      <c r="J39" s="30">
        <v>2000.0</v>
      </c>
      <c r="K39" s="31">
        <v>0.0</v>
      </c>
      <c r="L39" s="1"/>
    </row>
    <row r="40">
      <c r="A40" s="23" t="s">
        <v>481</v>
      </c>
      <c r="B40" s="17" t="s">
        <v>478</v>
      </c>
      <c r="C40" s="25">
        <f>VLOOKUP(A40,'Hoja 2'!A:C,3,0)</f>
        <v>1</v>
      </c>
      <c r="D40" s="25" t="str">
        <f>VLOOKUP(A40,'Hoja 2'!A:D,4,0)</f>
        <v>Contrato 1</v>
      </c>
      <c r="E40" s="30">
        <v>0.0</v>
      </c>
      <c r="F40" s="31">
        <v>0.0</v>
      </c>
      <c r="G40" s="32">
        <v>0.0</v>
      </c>
      <c r="H40" s="32">
        <v>0.0</v>
      </c>
      <c r="I40" s="32">
        <v>0.0</v>
      </c>
      <c r="J40" s="30">
        <v>2000.0</v>
      </c>
      <c r="K40" s="31">
        <v>0.0</v>
      </c>
      <c r="L40" s="1"/>
    </row>
    <row r="41">
      <c r="A41" s="23" t="s">
        <v>492</v>
      </c>
      <c r="B41" s="17" t="s">
        <v>489</v>
      </c>
      <c r="C41" s="25">
        <f>VLOOKUP(A41,'Hoja 2'!A:C,3,0)</f>
        <v>1</v>
      </c>
      <c r="D41" s="25" t="str">
        <f>VLOOKUP(A41,'Hoja 2'!A:D,4,0)</f>
        <v>Contrato 1</v>
      </c>
      <c r="E41" s="30">
        <v>0.0</v>
      </c>
      <c r="F41" s="31">
        <v>0.0</v>
      </c>
      <c r="G41" s="32">
        <v>0.0</v>
      </c>
      <c r="H41" s="32">
        <v>0.0</v>
      </c>
      <c r="I41" s="32">
        <v>0.0</v>
      </c>
      <c r="J41" s="30">
        <v>2000.0</v>
      </c>
      <c r="K41" s="31">
        <v>0.0</v>
      </c>
      <c r="L41" s="1"/>
    </row>
    <row r="42">
      <c r="A42" s="23" t="s">
        <v>509</v>
      </c>
      <c r="B42" s="17" t="s">
        <v>507</v>
      </c>
      <c r="C42" s="25">
        <f>VLOOKUP(A42,'Hoja 2'!A:C,3,0)</f>
        <v>1</v>
      </c>
      <c r="D42" s="25" t="str">
        <f>VLOOKUP(A42,'Hoja 2'!A:D,4,0)</f>
        <v>Contrato 1</v>
      </c>
      <c r="E42" s="30">
        <v>0.0</v>
      </c>
      <c r="F42" s="31">
        <v>0.0</v>
      </c>
      <c r="G42" s="32">
        <v>0.0</v>
      </c>
      <c r="H42" s="32">
        <v>0.0</v>
      </c>
      <c r="I42" s="32">
        <v>0.0</v>
      </c>
      <c r="J42" s="30">
        <v>2000.0</v>
      </c>
      <c r="K42" s="31">
        <v>0.0</v>
      </c>
      <c r="L42" s="1"/>
    </row>
    <row r="43">
      <c r="A43" s="23" t="s">
        <v>522</v>
      </c>
      <c r="B43" s="17" t="s">
        <v>520</v>
      </c>
      <c r="C43" s="25">
        <f>VLOOKUP(A43,'Hoja 2'!A:C,3,0)</f>
        <v>1</v>
      </c>
      <c r="D43" s="25" t="str">
        <f>VLOOKUP(A43,'Hoja 2'!A:D,4,0)</f>
        <v>Contrato 1</v>
      </c>
      <c r="E43" s="30">
        <v>0.0</v>
      </c>
      <c r="F43" s="31">
        <v>0.0</v>
      </c>
      <c r="G43" s="32">
        <v>0.0</v>
      </c>
      <c r="H43" s="32">
        <v>0.0</v>
      </c>
      <c r="I43" s="32">
        <v>0.0</v>
      </c>
      <c r="J43" s="30">
        <v>2000.0</v>
      </c>
      <c r="K43" s="31">
        <v>0.0</v>
      </c>
      <c r="L43" s="1"/>
    </row>
    <row r="44">
      <c r="A44" s="23" t="s">
        <v>550</v>
      </c>
      <c r="B44" s="17" t="s">
        <v>547</v>
      </c>
      <c r="C44" s="25">
        <f>VLOOKUP(A44,'Hoja 2'!A:C,3,0)</f>
        <v>1</v>
      </c>
      <c r="D44" s="25" t="str">
        <f>VLOOKUP(A44,'Hoja 2'!A:D,4,0)</f>
        <v>Contrato 1</v>
      </c>
      <c r="E44" s="30">
        <v>0.0</v>
      </c>
      <c r="F44" s="31">
        <v>0.0</v>
      </c>
      <c r="G44" s="32">
        <v>0.0</v>
      </c>
      <c r="H44" s="32">
        <v>0.0</v>
      </c>
      <c r="I44" s="32">
        <v>0.0</v>
      </c>
      <c r="J44" s="30">
        <v>2000.0</v>
      </c>
      <c r="K44" s="31">
        <v>0.0</v>
      </c>
      <c r="L44" s="1"/>
    </row>
    <row r="45">
      <c r="A45" s="23" t="s">
        <v>584</v>
      </c>
      <c r="B45" s="17" t="s">
        <v>580</v>
      </c>
      <c r="C45" s="25">
        <f>VLOOKUP(A45,'Hoja 2'!A:C,3,0)</f>
        <v>1</v>
      </c>
      <c r="D45" s="25" t="str">
        <f>VLOOKUP(A45,'Hoja 2'!A:D,4,0)</f>
        <v>Contrato 1</v>
      </c>
      <c r="E45" s="30">
        <v>0.0</v>
      </c>
      <c r="F45" s="31">
        <v>0.0</v>
      </c>
      <c r="G45" s="32">
        <v>0.0</v>
      </c>
      <c r="H45" s="32">
        <v>0.0</v>
      </c>
      <c r="I45" s="32">
        <v>0.0</v>
      </c>
      <c r="J45" s="30">
        <v>2000.0</v>
      </c>
      <c r="K45" s="31">
        <v>0.0</v>
      </c>
      <c r="L45" s="1"/>
    </row>
    <row r="46">
      <c r="A46" s="23" t="s">
        <v>310</v>
      </c>
      <c r="B46" s="17" t="s">
        <v>601</v>
      </c>
      <c r="C46" s="25">
        <f>VLOOKUP(A46,'Hoja 2'!A:C,3,0)</f>
        <v>1</v>
      </c>
      <c r="D46" s="25" t="str">
        <f>VLOOKUP(A46,'Hoja 2'!A:D,4,0)</f>
        <v>Contrato 1</v>
      </c>
      <c r="E46" s="30">
        <v>0.0</v>
      </c>
      <c r="F46" s="31">
        <v>0.0</v>
      </c>
      <c r="G46" s="32">
        <v>0.0</v>
      </c>
      <c r="H46" s="32">
        <v>0.0</v>
      </c>
      <c r="I46" s="32">
        <v>0.0</v>
      </c>
      <c r="J46" s="30">
        <v>2000.0</v>
      </c>
      <c r="K46" s="31">
        <v>0.0</v>
      </c>
      <c r="L46" s="1"/>
    </row>
    <row r="47">
      <c r="A47" s="23" t="s">
        <v>460</v>
      </c>
      <c r="B47" s="17" t="s">
        <v>614</v>
      </c>
      <c r="C47" s="25">
        <f>VLOOKUP(A47,'Hoja 2'!A:C,3,0)</f>
        <v>1</v>
      </c>
      <c r="D47" s="25" t="str">
        <f>VLOOKUP(A47,'Hoja 2'!A:D,4,0)</f>
        <v>Contrato 1</v>
      </c>
      <c r="E47" s="30">
        <v>0.0</v>
      </c>
      <c r="F47" s="31">
        <v>0.0</v>
      </c>
      <c r="G47" s="32">
        <v>0.0</v>
      </c>
      <c r="H47" s="32">
        <v>0.0</v>
      </c>
      <c r="I47" s="32">
        <v>0.0</v>
      </c>
      <c r="J47" s="30">
        <v>2000.0</v>
      </c>
      <c r="K47" s="31">
        <v>0.0</v>
      </c>
      <c r="L47" s="1"/>
    </row>
    <row r="48">
      <c r="A48" s="23" t="s">
        <v>626</v>
      </c>
      <c r="B48" s="17" t="s">
        <v>624</v>
      </c>
      <c r="C48" s="25">
        <f>VLOOKUP(A48,'Hoja 2'!A:C,3,0)</f>
        <v>1</v>
      </c>
      <c r="D48" s="25" t="str">
        <f>VLOOKUP(A48,'Hoja 2'!A:D,4,0)</f>
        <v>Contrato 1</v>
      </c>
      <c r="E48" s="30">
        <v>0.0</v>
      </c>
      <c r="F48" s="31">
        <v>0.0</v>
      </c>
      <c r="G48" s="32">
        <v>0.0</v>
      </c>
      <c r="H48" s="32">
        <v>0.0</v>
      </c>
      <c r="I48" s="32">
        <v>0.0</v>
      </c>
      <c r="J48" s="30">
        <v>2000.0</v>
      </c>
      <c r="K48" s="31">
        <v>0.0</v>
      </c>
      <c r="L48" s="1"/>
    </row>
    <row r="49">
      <c r="A49" s="23" t="s">
        <v>285</v>
      </c>
      <c r="B49" s="17" t="s">
        <v>635</v>
      </c>
      <c r="C49" s="25">
        <f>VLOOKUP(A49,'Hoja 2'!A:C,3,0)</f>
        <v>1</v>
      </c>
      <c r="D49" s="25" t="str">
        <f>VLOOKUP(A49,'Hoja 2'!A:D,4,0)</f>
        <v>Contrato 1</v>
      </c>
      <c r="E49" s="30">
        <v>0.0</v>
      </c>
      <c r="F49" s="31">
        <v>0.0</v>
      </c>
      <c r="G49" s="32">
        <v>0.0</v>
      </c>
      <c r="H49" s="32">
        <v>0.0</v>
      </c>
      <c r="I49" s="32">
        <v>0.0</v>
      </c>
      <c r="J49" s="30">
        <v>2000.0</v>
      </c>
      <c r="K49" s="31">
        <v>0.0</v>
      </c>
      <c r="L49" s="1"/>
    </row>
    <row r="50">
      <c r="A50" s="23" t="s">
        <v>655</v>
      </c>
      <c r="B50" s="17" t="s">
        <v>650</v>
      </c>
      <c r="C50" s="25">
        <f>VLOOKUP(A50,'Hoja 2'!A:C,3,0)</f>
        <v>1</v>
      </c>
      <c r="D50" s="25" t="str">
        <f>VLOOKUP(A50,'Hoja 2'!A:D,4,0)</f>
        <v>Contrato 1</v>
      </c>
      <c r="E50" s="30">
        <v>0.0</v>
      </c>
      <c r="F50" s="31">
        <v>0.0</v>
      </c>
      <c r="G50" s="32">
        <v>0.0</v>
      </c>
      <c r="H50" s="32">
        <v>0.0</v>
      </c>
      <c r="I50" s="32">
        <v>0.0</v>
      </c>
      <c r="J50" s="30">
        <v>2000.0</v>
      </c>
      <c r="K50" s="31">
        <v>0.0</v>
      </c>
      <c r="L50" s="1"/>
    </row>
    <row r="51">
      <c r="A51" s="23" t="s">
        <v>356</v>
      </c>
      <c r="B51" s="17" t="s">
        <v>666</v>
      </c>
      <c r="C51" s="25">
        <f>VLOOKUP(A51,'Hoja 2'!A:C,3,0)</f>
        <v>1</v>
      </c>
      <c r="D51" s="25" t="str">
        <f>VLOOKUP(A51,'Hoja 2'!A:D,4,0)</f>
        <v>Contrato 1</v>
      </c>
      <c r="E51" s="30">
        <v>0.0</v>
      </c>
      <c r="F51" s="31">
        <v>0.0</v>
      </c>
      <c r="G51" s="32">
        <v>0.0</v>
      </c>
      <c r="H51" s="32">
        <v>0.0</v>
      </c>
      <c r="I51" s="32">
        <v>0.0</v>
      </c>
      <c r="J51" s="30">
        <v>2000.0</v>
      </c>
      <c r="K51" s="31">
        <v>0.0</v>
      </c>
      <c r="L51" s="1"/>
    </row>
    <row r="52">
      <c r="A52" s="23" t="s">
        <v>680</v>
      </c>
      <c r="B52" s="17" t="s">
        <v>678</v>
      </c>
      <c r="C52" s="25">
        <f>VLOOKUP(A52,'Hoja 2'!A:C,3,0)</f>
        <v>1</v>
      </c>
      <c r="D52" s="25" t="str">
        <f>VLOOKUP(A52,'Hoja 2'!A:D,4,0)</f>
        <v>Contrato 1</v>
      </c>
      <c r="E52" s="30">
        <v>0.0</v>
      </c>
      <c r="F52" s="31">
        <v>0.0</v>
      </c>
      <c r="G52" s="32">
        <v>0.0</v>
      </c>
      <c r="H52" s="32">
        <v>0.0</v>
      </c>
      <c r="I52" s="32">
        <v>0.0</v>
      </c>
      <c r="J52" s="30">
        <v>2000.0</v>
      </c>
      <c r="K52" s="31">
        <v>0.0</v>
      </c>
      <c r="L52" s="1"/>
    </row>
    <row r="53">
      <c r="A53" s="23" t="s">
        <v>691</v>
      </c>
      <c r="B53" s="17" t="s">
        <v>690</v>
      </c>
      <c r="C53" s="25">
        <f>VLOOKUP(A53,'Hoja 2'!A:C,3,0)</f>
        <v>1</v>
      </c>
      <c r="D53" s="25" t="str">
        <f>VLOOKUP(A53,'Hoja 2'!A:D,4,0)</f>
        <v>Contrato 1</v>
      </c>
      <c r="E53" s="30">
        <v>0.0</v>
      </c>
      <c r="F53" s="31">
        <v>0.0</v>
      </c>
      <c r="G53" s="32">
        <v>0.0</v>
      </c>
      <c r="H53" s="32">
        <v>0.0</v>
      </c>
      <c r="I53" s="32">
        <v>0.0</v>
      </c>
      <c r="J53" s="30">
        <v>2000.0</v>
      </c>
      <c r="K53" s="31">
        <v>0.0</v>
      </c>
      <c r="L53" s="1"/>
    </row>
    <row r="54">
      <c r="A54" s="23" t="s">
        <v>191</v>
      </c>
      <c r="B54" s="17" t="s">
        <v>704</v>
      </c>
      <c r="C54" s="25">
        <f>VLOOKUP(A54,'Hoja 2'!A:C,3,0)</f>
        <v>1</v>
      </c>
      <c r="D54" s="25" t="str">
        <f>VLOOKUP(A54,'Hoja 2'!A:D,4,0)</f>
        <v>Contrato 1</v>
      </c>
      <c r="E54" s="30">
        <v>0.0</v>
      </c>
      <c r="F54" s="31">
        <v>0.0</v>
      </c>
      <c r="G54" s="32">
        <v>0.0</v>
      </c>
      <c r="H54" s="32">
        <v>0.0</v>
      </c>
      <c r="I54" s="32">
        <v>0.0</v>
      </c>
      <c r="J54" s="30">
        <v>2000.0</v>
      </c>
      <c r="K54" s="31">
        <v>0.0</v>
      </c>
      <c r="L54" s="1"/>
    </row>
    <row r="55">
      <c r="A55" s="23" t="s">
        <v>676</v>
      </c>
      <c r="B55" s="17" t="s">
        <v>715</v>
      </c>
      <c r="C55" s="25">
        <f>VLOOKUP(A55,'Hoja 2'!A:C,3,0)</f>
        <v>1</v>
      </c>
      <c r="D55" s="25" t="str">
        <f>VLOOKUP(A55,'Hoja 2'!A:D,4,0)</f>
        <v>Contrato 1</v>
      </c>
      <c r="E55" s="30">
        <v>0.0</v>
      </c>
      <c r="F55" s="31">
        <v>0.0</v>
      </c>
      <c r="G55" s="32">
        <v>0.0</v>
      </c>
      <c r="H55" s="32">
        <v>0.0</v>
      </c>
      <c r="I55" s="32">
        <v>0.0</v>
      </c>
      <c r="J55" s="30">
        <v>2000.0</v>
      </c>
      <c r="K55" s="31">
        <v>0.0</v>
      </c>
      <c r="L55" s="1"/>
    </row>
    <row r="56">
      <c r="A56" s="23" t="s">
        <v>117</v>
      </c>
      <c r="B56" s="17" t="s">
        <v>725</v>
      </c>
      <c r="C56" s="25">
        <f>VLOOKUP(A56,'Hoja 2'!A:C,3,0)</f>
        <v>1</v>
      </c>
      <c r="D56" s="25" t="str">
        <f>VLOOKUP(A56,'Hoja 2'!A:D,4,0)</f>
        <v>Contrato 1</v>
      </c>
      <c r="E56" s="30">
        <v>0.0</v>
      </c>
      <c r="F56" s="31">
        <v>0.0</v>
      </c>
      <c r="G56" s="32">
        <v>0.0</v>
      </c>
      <c r="H56" s="32">
        <v>0.0</v>
      </c>
      <c r="I56" s="32">
        <v>0.0</v>
      </c>
      <c r="J56" s="30">
        <v>2000.0</v>
      </c>
      <c r="K56" s="31">
        <v>0.0</v>
      </c>
      <c r="L56" s="1"/>
    </row>
    <row r="57">
      <c r="A57" s="23" t="s">
        <v>251</v>
      </c>
      <c r="B57" s="17" t="s">
        <v>735</v>
      </c>
      <c r="C57" s="25">
        <f>VLOOKUP(A57,'Hoja 2'!A:C,3,0)</f>
        <v>1</v>
      </c>
      <c r="D57" s="25" t="str">
        <f>VLOOKUP(A57,'Hoja 2'!A:D,4,0)</f>
        <v>Contrato 1</v>
      </c>
      <c r="E57" s="30">
        <v>0.0</v>
      </c>
      <c r="F57" s="31">
        <v>0.0</v>
      </c>
      <c r="G57" s="32">
        <v>0.0</v>
      </c>
      <c r="H57" s="32">
        <v>0.0</v>
      </c>
      <c r="I57" s="32">
        <v>0.0</v>
      </c>
      <c r="J57" s="30">
        <v>2000.0</v>
      </c>
      <c r="K57" s="31">
        <v>0.0</v>
      </c>
      <c r="L57" s="1"/>
    </row>
    <row r="58">
      <c r="A58" s="23" t="s">
        <v>263</v>
      </c>
      <c r="B58" s="17" t="s">
        <v>750</v>
      </c>
      <c r="C58" s="25">
        <f>VLOOKUP(A58,'Hoja 2'!A:C,3,0)</f>
        <v>1</v>
      </c>
      <c r="D58" s="25" t="str">
        <f>VLOOKUP(A58,'Hoja 2'!A:D,4,0)</f>
        <v>Contrato 1</v>
      </c>
      <c r="E58" s="30">
        <v>0.0</v>
      </c>
      <c r="F58" s="31">
        <v>0.0</v>
      </c>
      <c r="G58" s="32">
        <v>0.0</v>
      </c>
      <c r="H58" s="32">
        <v>0.0</v>
      </c>
      <c r="I58" s="32">
        <v>0.0</v>
      </c>
      <c r="J58" s="30">
        <v>2000.0</v>
      </c>
      <c r="K58" s="31">
        <v>0.0</v>
      </c>
      <c r="L58" s="1"/>
    </row>
    <row r="59">
      <c r="A59" s="23" t="s">
        <v>748</v>
      </c>
      <c r="B59" s="17" t="s">
        <v>757</v>
      </c>
      <c r="C59" s="25">
        <f>VLOOKUP(A59,'Hoja 2'!A:C,3,0)</f>
        <v>1</v>
      </c>
      <c r="D59" s="25" t="str">
        <f>VLOOKUP(A59,'Hoja 2'!A:D,4,0)</f>
        <v>Contrato 1</v>
      </c>
      <c r="E59" s="30">
        <v>0.0</v>
      </c>
      <c r="F59" s="31">
        <v>0.0</v>
      </c>
      <c r="G59" s="32">
        <v>0.0</v>
      </c>
      <c r="H59" s="32">
        <v>0.0</v>
      </c>
      <c r="I59" s="32">
        <v>0.0</v>
      </c>
      <c r="J59" s="30">
        <v>2000.0</v>
      </c>
      <c r="K59" s="31">
        <v>0.0</v>
      </c>
      <c r="L59" s="1"/>
    </row>
    <row r="60">
      <c r="A60" s="23" t="s">
        <v>505</v>
      </c>
      <c r="B60" s="17" t="s">
        <v>767</v>
      </c>
      <c r="C60" s="25">
        <f>VLOOKUP(A60,'Hoja 2'!A:C,3,0)</f>
        <v>1</v>
      </c>
      <c r="D60" s="25" t="str">
        <f>VLOOKUP(A60,'Hoja 2'!A:D,4,0)</f>
        <v>Contrato 1</v>
      </c>
      <c r="E60" s="30">
        <v>0.0</v>
      </c>
      <c r="F60" s="31">
        <v>0.0</v>
      </c>
      <c r="G60" s="32">
        <v>0.0</v>
      </c>
      <c r="H60" s="32">
        <v>0.0</v>
      </c>
      <c r="I60" s="32">
        <v>0.0</v>
      </c>
      <c r="J60" s="30">
        <v>2000.0</v>
      </c>
      <c r="K60" s="31">
        <v>0.0</v>
      </c>
      <c r="L60" s="1"/>
    </row>
    <row r="61">
      <c r="A61" s="23" t="s">
        <v>783</v>
      </c>
      <c r="B61" s="17" t="s">
        <v>780</v>
      </c>
      <c r="C61" s="25">
        <f>VLOOKUP(A61,'Hoja 2'!A:C,3,0)</f>
        <v>1</v>
      </c>
      <c r="D61" s="25" t="str">
        <f>VLOOKUP(A61,'Hoja 2'!A:D,4,0)</f>
        <v>Contrato 1</v>
      </c>
      <c r="E61" s="30">
        <v>0.0</v>
      </c>
      <c r="F61" s="31">
        <v>0.0</v>
      </c>
      <c r="G61" s="32">
        <v>0.0</v>
      </c>
      <c r="H61" s="32">
        <v>0.0</v>
      </c>
      <c r="I61" s="32">
        <v>0.0</v>
      </c>
      <c r="J61" s="30">
        <v>2000.0</v>
      </c>
      <c r="K61" s="31">
        <v>0.0</v>
      </c>
      <c r="L61" s="1"/>
    </row>
    <row r="62">
      <c r="A62" s="23" t="s">
        <v>791</v>
      </c>
      <c r="B62" s="17" t="s">
        <v>789</v>
      </c>
      <c r="C62" s="25">
        <f>VLOOKUP(A62,'Hoja 2'!A:C,3,0)</f>
        <v>1</v>
      </c>
      <c r="D62" s="25" t="str">
        <f>VLOOKUP(A62,'Hoja 2'!A:D,4,0)</f>
        <v>Contrato 1</v>
      </c>
      <c r="E62" s="30">
        <v>0.0</v>
      </c>
      <c r="F62" s="31">
        <v>0.0</v>
      </c>
      <c r="G62" s="32">
        <v>0.0</v>
      </c>
      <c r="H62" s="32">
        <v>0.0</v>
      </c>
      <c r="I62" s="32">
        <v>0.0</v>
      </c>
      <c r="J62" s="30">
        <v>2000.0</v>
      </c>
      <c r="K62" s="31">
        <v>0.0</v>
      </c>
      <c r="L62" s="1"/>
    </row>
    <row r="63">
      <c r="A63" s="23" t="s">
        <v>802</v>
      </c>
      <c r="B63" s="17" t="s">
        <v>800</v>
      </c>
      <c r="C63" s="25">
        <f>VLOOKUP(A63,'Hoja 2'!A:C,3,0)</f>
        <v>1</v>
      </c>
      <c r="D63" s="25" t="str">
        <f>VLOOKUP(A63,'Hoja 2'!A:D,4,0)</f>
        <v>Contrato 1</v>
      </c>
      <c r="E63" s="30">
        <v>0.0</v>
      </c>
      <c r="F63" s="31">
        <v>0.0</v>
      </c>
      <c r="G63" s="32">
        <v>0.0</v>
      </c>
      <c r="H63" s="32">
        <v>0.0</v>
      </c>
      <c r="I63" s="32">
        <v>0.0</v>
      </c>
      <c r="J63" s="30">
        <v>2000.0</v>
      </c>
      <c r="K63" s="31">
        <v>0.0</v>
      </c>
      <c r="L63" s="1"/>
    </row>
    <row r="64">
      <c r="A64" s="23" t="s">
        <v>822</v>
      </c>
      <c r="B64" s="17" t="s">
        <v>819</v>
      </c>
      <c r="C64" s="25">
        <f>VLOOKUP(A64,'Hoja 2'!A:C,3,0)</f>
        <v>1</v>
      </c>
      <c r="D64" s="25" t="str">
        <f>VLOOKUP(A64,'Hoja 2'!A:D,4,0)</f>
        <v>Contrato 1</v>
      </c>
      <c r="E64" s="30">
        <v>0.0</v>
      </c>
      <c r="F64" s="31">
        <v>0.0</v>
      </c>
      <c r="G64" s="32">
        <v>0.0</v>
      </c>
      <c r="H64" s="32">
        <v>0.0</v>
      </c>
      <c r="I64" s="32">
        <v>0.0</v>
      </c>
      <c r="J64" s="30">
        <v>2000.0</v>
      </c>
      <c r="K64" s="31">
        <v>0.0</v>
      </c>
      <c r="L64" s="1"/>
    </row>
    <row r="65">
      <c r="A65" s="23" t="s">
        <v>835</v>
      </c>
      <c r="B65" s="17" t="s">
        <v>832</v>
      </c>
      <c r="C65" s="25">
        <f>VLOOKUP(A65,'Hoja 2'!A:C,3,0)</f>
        <v>1</v>
      </c>
      <c r="D65" s="25" t="str">
        <f>VLOOKUP(A65,'Hoja 2'!A:D,4,0)</f>
        <v>Contrato 1</v>
      </c>
      <c r="E65" s="30">
        <v>0.0</v>
      </c>
      <c r="F65" s="31">
        <v>0.0</v>
      </c>
      <c r="G65" s="32">
        <v>0.0</v>
      </c>
      <c r="H65" s="32">
        <v>0.0</v>
      </c>
      <c r="I65" s="32">
        <v>0.0</v>
      </c>
      <c r="J65" s="30">
        <v>2000.0</v>
      </c>
      <c r="K65" s="31">
        <v>0.0</v>
      </c>
      <c r="L65" s="1"/>
    </row>
    <row r="66">
      <c r="A66" s="23" t="s">
        <v>851</v>
      </c>
      <c r="B66" s="17" t="s">
        <v>848</v>
      </c>
      <c r="C66" s="25">
        <f>VLOOKUP(A66,'Hoja 2'!A:C,3,0)</f>
        <v>1</v>
      </c>
      <c r="D66" s="25" t="str">
        <f>VLOOKUP(A66,'Hoja 2'!A:D,4,0)</f>
        <v>Contrato 1</v>
      </c>
      <c r="E66" s="30">
        <v>0.0</v>
      </c>
      <c r="F66" s="31">
        <v>0.0</v>
      </c>
      <c r="G66" s="32">
        <v>0.0</v>
      </c>
      <c r="H66" s="32">
        <v>0.0</v>
      </c>
      <c r="I66" s="32">
        <v>0.0</v>
      </c>
      <c r="J66" s="30">
        <v>2000.0</v>
      </c>
      <c r="K66" s="31">
        <v>0.0</v>
      </c>
      <c r="L66" s="1"/>
    </row>
    <row r="67">
      <c r="A67" s="23" t="s">
        <v>242</v>
      </c>
      <c r="B67" s="17" t="s">
        <v>869</v>
      </c>
      <c r="C67" s="25">
        <f>VLOOKUP(A67,'Hoja 2'!A:C,3,0)</f>
        <v>1</v>
      </c>
      <c r="D67" s="25" t="str">
        <f>VLOOKUP(A67,'Hoja 2'!A:D,4,0)</f>
        <v>Contrato 1</v>
      </c>
      <c r="E67" s="30">
        <v>0.0</v>
      </c>
      <c r="F67" s="31">
        <v>0.0</v>
      </c>
      <c r="G67" s="32">
        <v>0.0</v>
      </c>
      <c r="H67" s="32">
        <v>0.0</v>
      </c>
      <c r="I67" s="32">
        <v>0.0</v>
      </c>
      <c r="J67" s="30">
        <v>2000.0</v>
      </c>
      <c r="K67" s="31">
        <v>0.0</v>
      </c>
      <c r="L67" s="1"/>
    </row>
    <row r="68">
      <c r="A68" s="23" t="s">
        <v>450</v>
      </c>
      <c r="B68" s="17" t="s">
        <v>892</v>
      </c>
      <c r="C68" s="25">
        <f>VLOOKUP(A68,'Hoja 2'!A:C,3,0)</f>
        <v>1</v>
      </c>
      <c r="D68" s="25" t="str">
        <f>VLOOKUP(A68,'Hoja 2'!A:D,4,0)</f>
        <v>Contrato 1</v>
      </c>
      <c r="E68" s="30">
        <v>0.0</v>
      </c>
      <c r="F68" s="31">
        <v>0.0</v>
      </c>
      <c r="G68" s="32">
        <v>0.0</v>
      </c>
      <c r="H68" s="32">
        <v>0.0</v>
      </c>
      <c r="I68" s="32">
        <v>0.0</v>
      </c>
      <c r="J68" s="30">
        <v>2000.0</v>
      </c>
      <c r="K68" s="31">
        <v>0.0</v>
      </c>
      <c r="L68" s="1"/>
    </row>
    <row r="69">
      <c r="A69" s="23" t="s">
        <v>915</v>
      </c>
      <c r="B69" s="17" t="s">
        <v>914</v>
      </c>
      <c r="C69" s="25">
        <f>VLOOKUP(A69,'Hoja 2'!A:C,3,0)</f>
        <v>1</v>
      </c>
      <c r="D69" s="25" t="str">
        <f>VLOOKUP(A69,'Hoja 2'!A:D,4,0)</f>
        <v>Contrato 1</v>
      </c>
      <c r="E69" s="30">
        <v>0.0</v>
      </c>
      <c r="F69" s="31">
        <v>0.0</v>
      </c>
      <c r="G69" s="32">
        <v>0.0</v>
      </c>
      <c r="H69" s="32">
        <v>0.0</v>
      </c>
      <c r="I69" s="32">
        <v>0.0</v>
      </c>
      <c r="J69" s="30">
        <v>2000.0</v>
      </c>
      <c r="K69" s="31">
        <v>0.0</v>
      </c>
      <c r="L69" s="1"/>
    </row>
    <row r="70">
      <c r="A70" s="23" t="s">
        <v>928</v>
      </c>
      <c r="B70" s="17" t="s">
        <v>927</v>
      </c>
      <c r="C70" s="25">
        <f>VLOOKUP(A70,'Hoja 2'!A:C,3,0)</f>
        <v>1</v>
      </c>
      <c r="D70" s="25" t="str">
        <f>VLOOKUP(A70,'Hoja 2'!A:D,4,0)</f>
        <v>Contrato 1</v>
      </c>
      <c r="E70" s="30">
        <v>0.0</v>
      </c>
      <c r="F70" s="31">
        <v>0.0</v>
      </c>
      <c r="G70" s="32">
        <v>0.0</v>
      </c>
      <c r="H70" s="32">
        <v>0.0</v>
      </c>
      <c r="I70" s="32">
        <v>0.0</v>
      </c>
      <c r="J70" s="30">
        <v>2000.0</v>
      </c>
      <c r="K70" s="31">
        <v>0.0</v>
      </c>
      <c r="L70" s="1"/>
    </row>
    <row r="71">
      <c r="A71" s="23" t="s">
        <v>943</v>
      </c>
      <c r="B71" s="17" t="s">
        <v>941</v>
      </c>
      <c r="C71" s="25">
        <f>VLOOKUP(A71,'Hoja 2'!A:C,3,0)</f>
        <v>1</v>
      </c>
      <c r="D71" s="25" t="str">
        <f>VLOOKUP(A71,'Hoja 2'!A:D,4,0)</f>
        <v>Contrato 1</v>
      </c>
      <c r="E71" s="30">
        <v>0.0</v>
      </c>
      <c r="F71" s="31">
        <v>0.0</v>
      </c>
      <c r="G71" s="32">
        <v>0.0</v>
      </c>
      <c r="H71" s="32">
        <v>0.0</v>
      </c>
      <c r="I71" s="32">
        <v>0.0</v>
      </c>
      <c r="J71" s="30">
        <v>2000.0</v>
      </c>
      <c r="K71" s="31">
        <v>0.0</v>
      </c>
      <c r="L71" s="1"/>
    </row>
    <row r="72">
      <c r="A72" s="23" t="s">
        <v>957</v>
      </c>
      <c r="B72" s="17" t="s">
        <v>955</v>
      </c>
      <c r="C72" s="25">
        <f>VLOOKUP(A72,'Hoja 2'!A:C,3,0)</f>
        <v>1</v>
      </c>
      <c r="D72" s="25" t="str">
        <f>VLOOKUP(A72,'Hoja 2'!A:D,4,0)</f>
        <v>Contrato 1</v>
      </c>
      <c r="E72" s="30">
        <v>0.0</v>
      </c>
      <c r="F72" s="31">
        <v>0.0</v>
      </c>
      <c r="G72" s="32">
        <v>0.0</v>
      </c>
      <c r="H72" s="32">
        <v>0.0</v>
      </c>
      <c r="I72" s="32">
        <v>0.0</v>
      </c>
      <c r="J72" s="30">
        <v>2000.0</v>
      </c>
      <c r="K72" s="31">
        <v>0.0</v>
      </c>
      <c r="L72" s="1"/>
    </row>
    <row r="73">
      <c r="A73" s="23" t="s">
        <v>897</v>
      </c>
      <c r="B73" s="17" t="s">
        <v>962</v>
      </c>
      <c r="C73" s="25">
        <f>VLOOKUP(A73,'Hoja 2'!A:C,3,0)</f>
        <v>1</v>
      </c>
      <c r="D73" s="25" t="str">
        <f>VLOOKUP(A73,'Hoja 2'!A:D,4,0)</f>
        <v>Contrato 1</v>
      </c>
      <c r="E73" s="30">
        <v>0.0</v>
      </c>
      <c r="F73" s="31">
        <v>0.0</v>
      </c>
      <c r="G73" s="32">
        <v>0.0</v>
      </c>
      <c r="H73" s="32">
        <v>0.0</v>
      </c>
      <c r="I73" s="32">
        <v>0.0</v>
      </c>
      <c r="J73" s="30">
        <v>2000.0</v>
      </c>
      <c r="K73" s="31">
        <v>0.0</v>
      </c>
      <c r="L73" s="1"/>
    </row>
    <row r="74">
      <c r="A74" s="23" t="s">
        <v>543</v>
      </c>
      <c r="B74" s="17" t="s">
        <v>970</v>
      </c>
      <c r="C74" s="25">
        <f>VLOOKUP(A74,'Hoja 2'!A:C,3,0)</f>
        <v>1</v>
      </c>
      <c r="D74" s="25" t="str">
        <f>VLOOKUP(A74,'Hoja 2'!A:D,4,0)</f>
        <v>Contrato 1</v>
      </c>
      <c r="E74" s="30">
        <v>0.0</v>
      </c>
      <c r="F74" s="31">
        <v>0.0</v>
      </c>
      <c r="G74" s="32">
        <v>0.0</v>
      </c>
      <c r="H74" s="32">
        <v>0.0</v>
      </c>
      <c r="I74" s="32">
        <v>0.0</v>
      </c>
      <c r="J74" s="30">
        <v>2000.0</v>
      </c>
      <c r="K74" s="31">
        <v>0.0</v>
      </c>
      <c r="L74" s="1"/>
    </row>
    <row r="75">
      <c r="A75" s="23" t="s">
        <v>983</v>
      </c>
      <c r="B75" s="17" t="s">
        <v>980</v>
      </c>
      <c r="C75" s="25">
        <f>VLOOKUP(A75,'Hoja 2'!A:C,3,0)</f>
        <v>1</v>
      </c>
      <c r="D75" s="25" t="str">
        <f>VLOOKUP(A75,'Hoja 2'!A:D,4,0)</f>
        <v>Contrato 1</v>
      </c>
      <c r="E75" s="30">
        <v>0.0</v>
      </c>
      <c r="F75" s="31">
        <v>0.0</v>
      </c>
      <c r="G75" s="32">
        <v>0.0</v>
      </c>
      <c r="H75" s="32">
        <v>0.0</v>
      </c>
      <c r="I75" s="32">
        <v>0.0</v>
      </c>
      <c r="J75" s="30">
        <v>2000.0</v>
      </c>
      <c r="K75" s="31">
        <v>0.0</v>
      </c>
      <c r="L75" s="1"/>
    </row>
    <row r="76">
      <c r="A76" s="23" t="s">
        <v>312</v>
      </c>
      <c r="B76" s="17" t="s">
        <v>992</v>
      </c>
      <c r="C76" s="25">
        <f>VLOOKUP(A76,'Hoja 2'!A:C,3,0)</f>
        <v>1</v>
      </c>
      <c r="D76" s="25" t="str">
        <f>VLOOKUP(A76,'Hoja 2'!A:D,4,0)</f>
        <v>Contrato 1</v>
      </c>
      <c r="E76" s="30">
        <v>0.0</v>
      </c>
      <c r="F76" s="31">
        <v>0.0</v>
      </c>
      <c r="G76" s="32">
        <v>0.0</v>
      </c>
      <c r="H76" s="32">
        <v>0.0</v>
      </c>
      <c r="I76" s="32">
        <v>0.0</v>
      </c>
      <c r="J76" s="30">
        <v>2000.0</v>
      </c>
      <c r="K76" s="31">
        <v>0.0</v>
      </c>
      <c r="L76" s="1"/>
    </row>
    <row r="77">
      <c r="A77" s="23" t="s">
        <v>1002</v>
      </c>
      <c r="B77" s="17" t="s">
        <v>1001</v>
      </c>
      <c r="C77" s="25">
        <f>VLOOKUP(A77,'Hoja 2'!A:C,3,0)</f>
        <v>1</v>
      </c>
      <c r="D77" s="25" t="str">
        <f>VLOOKUP(A77,'Hoja 2'!A:D,4,0)</f>
        <v>Contrato 1</v>
      </c>
      <c r="E77" s="30">
        <v>0.0</v>
      </c>
      <c r="F77" s="31">
        <v>0.0</v>
      </c>
      <c r="G77" s="32">
        <v>0.0</v>
      </c>
      <c r="H77" s="32">
        <v>0.0</v>
      </c>
      <c r="I77" s="32">
        <v>0.0</v>
      </c>
      <c r="J77" s="30">
        <v>2000.0</v>
      </c>
      <c r="K77" s="31">
        <v>0.0</v>
      </c>
      <c r="L77" s="1"/>
    </row>
    <row r="78">
      <c r="A78" s="23" t="s">
        <v>1016</v>
      </c>
      <c r="B78" s="17" t="s">
        <v>1015</v>
      </c>
      <c r="C78" s="25">
        <f>VLOOKUP(A78,'Hoja 2'!A:C,3,0)</f>
        <v>1</v>
      </c>
      <c r="D78" s="25" t="str">
        <f>VLOOKUP(A78,'Hoja 2'!A:D,4,0)</f>
        <v>Contrato 1</v>
      </c>
      <c r="E78" s="30">
        <v>0.0</v>
      </c>
      <c r="F78" s="31">
        <v>0.0</v>
      </c>
      <c r="G78" s="32">
        <v>0.0</v>
      </c>
      <c r="H78" s="32">
        <v>0.0</v>
      </c>
      <c r="I78" s="32">
        <v>0.0</v>
      </c>
      <c r="J78" s="30">
        <v>2000.0</v>
      </c>
      <c r="K78" s="31">
        <v>2500.0</v>
      </c>
      <c r="L78" s="1"/>
    </row>
    <row r="79">
      <c r="A79" s="23" t="s">
        <v>610</v>
      </c>
      <c r="B79" s="17" t="s">
        <v>1025</v>
      </c>
      <c r="C79" s="25">
        <f>VLOOKUP(A79,'Hoja 2'!A:C,3,0)</f>
        <v>1</v>
      </c>
      <c r="D79" s="25" t="str">
        <f>VLOOKUP(A79,'Hoja 2'!A:D,4,0)</f>
        <v>Contrato 1</v>
      </c>
      <c r="E79" s="30">
        <v>0.0</v>
      </c>
      <c r="F79" s="31">
        <v>0.0</v>
      </c>
      <c r="G79" s="32">
        <v>0.0</v>
      </c>
      <c r="H79" s="32">
        <v>0.0</v>
      </c>
      <c r="I79" s="32">
        <v>0.0</v>
      </c>
      <c r="J79" s="30">
        <v>2000.0</v>
      </c>
      <c r="K79" s="30">
        <v>0.0</v>
      </c>
      <c r="L79" s="1" t="s">
        <v>53</v>
      </c>
    </row>
    <row r="80">
      <c r="A80" s="23" t="s">
        <v>772</v>
      </c>
      <c r="B80" s="17" t="s">
        <v>1032</v>
      </c>
      <c r="C80" s="25">
        <f>VLOOKUP(A80,'Hoja 2'!A:C,3,0)</f>
        <v>1</v>
      </c>
      <c r="D80" s="25" t="str">
        <f>VLOOKUP(A80,'Hoja 2'!A:D,4,0)</f>
        <v>Contrato 1</v>
      </c>
      <c r="E80" s="30">
        <v>0.0</v>
      </c>
      <c r="F80" s="31">
        <v>0.0</v>
      </c>
      <c r="G80" s="32">
        <v>0.0</v>
      </c>
      <c r="H80" s="32">
        <v>0.0</v>
      </c>
      <c r="I80" s="32">
        <v>0.0</v>
      </c>
      <c r="J80" s="30">
        <v>0.0</v>
      </c>
      <c r="K80" s="31">
        <v>0.0</v>
      </c>
      <c r="L80" s="1"/>
    </row>
    <row r="81">
      <c r="A81" s="23" t="s">
        <v>1040</v>
      </c>
      <c r="B81" s="17" t="s">
        <v>1038</v>
      </c>
      <c r="C81" s="25">
        <f>VLOOKUP(A81,'Hoja 2'!A:C,3,0)</f>
        <v>1</v>
      </c>
      <c r="D81" s="25" t="str">
        <f>VLOOKUP(A81,'Hoja 2'!A:D,4,0)</f>
        <v>Contrato 1</v>
      </c>
      <c r="E81" s="30">
        <v>0.0</v>
      </c>
      <c r="F81" s="31">
        <v>0.0</v>
      </c>
      <c r="G81" s="32">
        <v>0.0</v>
      </c>
      <c r="H81" s="32">
        <v>0.0</v>
      </c>
      <c r="I81" s="32">
        <v>0.0</v>
      </c>
      <c r="J81" s="30">
        <v>2000.0</v>
      </c>
      <c r="K81" s="31">
        <v>0.0</v>
      </c>
      <c r="L81" s="1"/>
    </row>
    <row r="82">
      <c r="A82" s="23" t="s">
        <v>1046</v>
      </c>
      <c r="B82" s="17" t="s">
        <v>1044</v>
      </c>
      <c r="C82" s="25">
        <f>VLOOKUP(A82,'Hoja 2'!A:C,3,0)</f>
        <v>1</v>
      </c>
      <c r="D82" s="25" t="str">
        <f>VLOOKUP(A82,'Hoja 2'!A:D,4,0)</f>
        <v>Contrato 1</v>
      </c>
      <c r="E82" s="30">
        <v>0.0</v>
      </c>
      <c r="F82" s="31">
        <v>0.0</v>
      </c>
      <c r="G82" s="32">
        <v>0.0</v>
      </c>
      <c r="H82" s="32">
        <v>0.0</v>
      </c>
      <c r="I82" s="32">
        <v>0.0</v>
      </c>
      <c r="J82" s="30">
        <v>2000.0</v>
      </c>
      <c r="K82" s="31">
        <v>0.0</v>
      </c>
      <c r="L82" s="1"/>
    </row>
    <row r="83">
      <c r="A83" s="23" t="s">
        <v>111</v>
      </c>
      <c r="B83" s="17" t="s">
        <v>1053</v>
      </c>
      <c r="C83" s="25">
        <f>VLOOKUP(A83,'Hoja 2'!A:C,3,0)</f>
        <v>1</v>
      </c>
      <c r="D83" s="25" t="str">
        <f>VLOOKUP(A83,'Hoja 2'!A:D,4,0)</f>
        <v>Contrato 1</v>
      </c>
      <c r="E83" s="30">
        <v>0.0</v>
      </c>
      <c r="F83" s="31">
        <v>0.0</v>
      </c>
      <c r="G83" s="32">
        <v>0.0</v>
      </c>
      <c r="H83" s="32">
        <v>0.0</v>
      </c>
      <c r="I83" s="32">
        <v>0.0</v>
      </c>
      <c r="J83" s="30">
        <v>2000.0</v>
      </c>
      <c r="K83" s="31">
        <v>0.0</v>
      </c>
      <c r="L83" s="1"/>
    </row>
    <row r="84">
      <c r="A84" s="23" t="s">
        <v>327</v>
      </c>
      <c r="B84" s="17" t="s">
        <v>1065</v>
      </c>
      <c r="C84" s="25">
        <f>VLOOKUP(A84,'Hoja 2'!A:C,3,0)</f>
        <v>1</v>
      </c>
      <c r="D84" s="25" t="str">
        <f>VLOOKUP(A84,'Hoja 2'!A:D,4,0)</f>
        <v>Contrato 1</v>
      </c>
      <c r="E84" s="30">
        <v>0.0</v>
      </c>
      <c r="F84" s="31">
        <v>0.0</v>
      </c>
      <c r="G84" s="32">
        <v>0.0</v>
      </c>
      <c r="H84" s="32">
        <v>0.0</v>
      </c>
      <c r="I84" s="32">
        <v>0.0</v>
      </c>
      <c r="J84" s="30">
        <v>2000.0</v>
      </c>
      <c r="K84" s="31">
        <v>0.0</v>
      </c>
      <c r="L84" s="1"/>
    </row>
    <row r="85">
      <c r="A85" s="23" t="s">
        <v>861</v>
      </c>
      <c r="B85" s="17" t="s">
        <v>1078</v>
      </c>
      <c r="C85" s="25">
        <f>VLOOKUP(A85,'Hoja 2'!A:C,3,0)</f>
        <v>1</v>
      </c>
      <c r="D85" s="25" t="str">
        <f>VLOOKUP(A85,'Hoja 2'!A:D,4,0)</f>
        <v>Contrato 1</v>
      </c>
      <c r="E85" s="30">
        <v>0.0</v>
      </c>
      <c r="F85" s="31">
        <v>0.0</v>
      </c>
      <c r="G85" s="32">
        <v>0.0</v>
      </c>
      <c r="H85" s="32">
        <v>0.0</v>
      </c>
      <c r="I85" s="32">
        <v>0.0</v>
      </c>
      <c r="J85" s="30">
        <v>2000.0</v>
      </c>
      <c r="K85" s="31">
        <v>0.0</v>
      </c>
      <c r="L85" s="1"/>
    </row>
    <row r="86">
      <c r="A86" s="23" t="s">
        <v>633</v>
      </c>
      <c r="B86" s="17" t="s">
        <v>1103</v>
      </c>
      <c r="C86" s="25">
        <f>VLOOKUP(A86,'Hoja 2'!A:C,3,0)</f>
        <v>1</v>
      </c>
      <c r="D86" s="25" t="str">
        <f>VLOOKUP(A86,'Hoja 2'!A:D,4,0)</f>
        <v>Contrato 1</v>
      </c>
      <c r="E86" s="30">
        <v>0.0</v>
      </c>
      <c r="F86" s="31">
        <v>0.0</v>
      </c>
      <c r="G86" s="32">
        <v>0.0</v>
      </c>
      <c r="H86" s="32">
        <v>0.0</v>
      </c>
      <c r="I86" s="32">
        <v>0.0</v>
      </c>
      <c r="J86" s="30">
        <v>2000.0</v>
      </c>
      <c r="K86" s="31">
        <v>0.0</v>
      </c>
      <c r="L86" s="1"/>
    </row>
    <row r="87">
      <c r="A87" s="23" t="s">
        <v>658</v>
      </c>
      <c r="B87" s="17" t="s">
        <v>1116</v>
      </c>
      <c r="C87" s="25">
        <f>VLOOKUP(A87,'Hoja 2'!A:C,3,0)</f>
        <v>1</v>
      </c>
      <c r="D87" s="25" t="str">
        <f>VLOOKUP(A87,'Hoja 2'!A:D,4,0)</f>
        <v>Contrato 1</v>
      </c>
      <c r="E87" s="30">
        <v>0.0</v>
      </c>
      <c r="F87" s="31">
        <v>0.0</v>
      </c>
      <c r="G87" s="32">
        <v>0.0</v>
      </c>
      <c r="H87" s="32">
        <v>0.0</v>
      </c>
      <c r="I87" s="32">
        <v>0.0</v>
      </c>
      <c r="J87" s="30">
        <v>2000.0</v>
      </c>
      <c r="K87" s="31">
        <v>0.0</v>
      </c>
      <c r="L87" s="1"/>
    </row>
    <row r="88">
      <c r="A88" s="23" t="s">
        <v>1136</v>
      </c>
      <c r="B88" s="17" t="s">
        <v>1133</v>
      </c>
      <c r="C88" s="25">
        <f>VLOOKUP(A88,'Hoja 2'!A:C,3,0)</f>
        <v>2</v>
      </c>
      <c r="D88" s="25" t="str">
        <f>VLOOKUP(A88,'Hoja 2'!A:D,4,0)</f>
        <v>Contrato 2</v>
      </c>
      <c r="E88" s="30">
        <v>0.0</v>
      </c>
      <c r="F88" s="31">
        <v>0.0</v>
      </c>
      <c r="G88" s="32">
        <v>0.0</v>
      </c>
      <c r="H88" s="32">
        <v>0.0</v>
      </c>
      <c r="I88" s="32">
        <v>0.0</v>
      </c>
      <c r="J88" s="30">
        <v>2000.0</v>
      </c>
      <c r="K88" s="31">
        <v>0.0</v>
      </c>
      <c r="L88" s="1"/>
    </row>
    <row r="89">
      <c r="A89" s="23" t="s">
        <v>1145</v>
      </c>
      <c r="B89" s="17" t="s">
        <v>1143</v>
      </c>
      <c r="C89" s="25">
        <f>VLOOKUP(A89,'Hoja 2'!A:C,3,0)</f>
        <v>2</v>
      </c>
      <c r="D89" s="25" t="str">
        <f>VLOOKUP(A89,'Hoja 2'!A:D,4,0)</f>
        <v>Contrato 2</v>
      </c>
      <c r="E89" s="30">
        <v>0.0</v>
      </c>
      <c r="F89" s="31">
        <v>0.0</v>
      </c>
      <c r="G89" s="32">
        <v>0.0</v>
      </c>
      <c r="H89" s="32">
        <v>0.0</v>
      </c>
      <c r="I89" s="32">
        <v>0.0</v>
      </c>
      <c r="J89" s="30">
        <v>2000.0</v>
      </c>
      <c r="K89" s="31">
        <v>0.0</v>
      </c>
      <c r="L89" s="1"/>
    </row>
    <row r="90">
      <c r="A90" s="23" t="s">
        <v>562</v>
      </c>
      <c r="B90" s="17" t="s">
        <v>1153</v>
      </c>
      <c r="C90" s="25">
        <f>VLOOKUP(A90,'Hoja 2'!A:C,3,0)</f>
        <v>1</v>
      </c>
      <c r="D90" s="25" t="str">
        <f>VLOOKUP(A90,'Hoja 2'!A:D,4,0)</f>
        <v>CONTRATO 1</v>
      </c>
      <c r="E90" s="30">
        <v>0.0</v>
      </c>
      <c r="F90" s="31">
        <v>0.0</v>
      </c>
      <c r="G90" s="32">
        <v>0.0</v>
      </c>
      <c r="H90" s="32">
        <v>0.0</v>
      </c>
      <c r="I90" s="32">
        <v>0.0</v>
      </c>
      <c r="J90" s="30">
        <v>2000.0</v>
      </c>
      <c r="K90" s="31">
        <v>0.0</v>
      </c>
      <c r="L90" s="1"/>
    </row>
    <row r="91">
      <c r="A91" s="23" t="s">
        <v>157</v>
      </c>
      <c r="B91" s="17" t="s">
        <v>1161</v>
      </c>
      <c r="C91" s="25">
        <f>VLOOKUP(A91,'Hoja 2'!A:C,3,0)</f>
        <v>1</v>
      </c>
      <c r="D91" s="25" t="str">
        <f>VLOOKUP(A91,'Hoja 2'!A:D,4,0)</f>
        <v>Contrato 1</v>
      </c>
      <c r="E91" s="30">
        <v>0.0</v>
      </c>
      <c r="F91" s="31">
        <v>0.0</v>
      </c>
      <c r="G91" s="32">
        <v>0.0</v>
      </c>
      <c r="H91" s="32">
        <v>0.0</v>
      </c>
      <c r="I91" s="32">
        <v>0.0</v>
      </c>
      <c r="J91" s="30">
        <v>2000.0</v>
      </c>
      <c r="K91" s="31">
        <v>0.0</v>
      </c>
      <c r="L91" s="1"/>
    </row>
    <row r="92">
      <c r="A92" s="23" t="s">
        <v>733</v>
      </c>
      <c r="B92" s="17" t="s">
        <v>1169</v>
      </c>
      <c r="C92" s="25">
        <f>VLOOKUP(A92,'Hoja 2'!A:C,3,0)</f>
        <v>1</v>
      </c>
      <c r="D92" s="25" t="str">
        <f>VLOOKUP(A92,'Hoja 2'!A:D,4,0)</f>
        <v>Contrato 1</v>
      </c>
      <c r="E92" s="30">
        <v>0.0</v>
      </c>
      <c r="F92" s="31">
        <v>0.0</v>
      </c>
      <c r="G92" s="32">
        <v>0.0</v>
      </c>
      <c r="H92" s="32">
        <v>0.0</v>
      </c>
      <c r="I92" s="32">
        <v>0.0</v>
      </c>
      <c r="J92" s="30">
        <v>2000.0</v>
      </c>
      <c r="K92" s="31">
        <v>0.0</v>
      </c>
      <c r="L92" s="1"/>
    </row>
    <row r="93">
      <c r="A93" s="23" t="s">
        <v>1125</v>
      </c>
      <c r="B93" s="17" t="s">
        <v>1178</v>
      </c>
      <c r="C93" s="25">
        <f>VLOOKUP(A93,'Hoja 2'!A:C,3,0)</f>
        <v>1</v>
      </c>
      <c r="D93" s="25" t="str">
        <f>VLOOKUP(A93,'Hoja 2'!A:D,4,0)</f>
        <v>Contrato 1</v>
      </c>
      <c r="E93" s="30">
        <v>0.0</v>
      </c>
      <c r="F93" s="31">
        <v>0.0</v>
      </c>
      <c r="G93" s="32">
        <v>0.0</v>
      </c>
      <c r="H93" s="32">
        <v>0.0</v>
      </c>
      <c r="I93" s="32">
        <v>0.0</v>
      </c>
      <c r="J93" s="30">
        <v>2000.0</v>
      </c>
      <c r="K93" s="31">
        <v>0.0</v>
      </c>
      <c r="L93" s="1"/>
    </row>
    <row r="94">
      <c r="A94" s="23" t="s">
        <v>539</v>
      </c>
      <c r="B94" s="17" t="s">
        <v>1188</v>
      </c>
      <c r="C94" s="25">
        <f>VLOOKUP(A94,'Hoja 2'!A:C,3,0)</f>
        <v>1</v>
      </c>
      <c r="D94" s="25" t="str">
        <f>VLOOKUP(A94,'Hoja 2'!A:D,4,0)</f>
        <v>Contrato 1</v>
      </c>
      <c r="E94" s="30">
        <v>0.0</v>
      </c>
      <c r="F94" s="31">
        <v>0.0</v>
      </c>
      <c r="G94" s="32">
        <v>0.0</v>
      </c>
      <c r="H94" s="32">
        <v>0.0</v>
      </c>
      <c r="I94" s="32">
        <v>0.0</v>
      </c>
      <c r="J94" s="30">
        <v>2000.0</v>
      </c>
      <c r="K94" s="31">
        <v>0.0</v>
      </c>
      <c r="L94" s="1"/>
    </row>
    <row r="95">
      <c r="A95" s="23" t="s">
        <v>428</v>
      </c>
      <c r="B95" s="17" t="s">
        <v>1195</v>
      </c>
      <c r="C95" s="25">
        <f>VLOOKUP(A95,'Hoja 2'!A:C,3,0)</f>
        <v>1</v>
      </c>
      <c r="D95" s="25" t="str">
        <f>VLOOKUP(A95,'Hoja 2'!A:D,4,0)</f>
        <v>Contrato 1</v>
      </c>
      <c r="E95" s="30">
        <v>0.0</v>
      </c>
      <c r="F95" s="31">
        <v>0.0</v>
      </c>
      <c r="G95" s="32">
        <v>0.0</v>
      </c>
      <c r="H95" s="32">
        <v>0.0</v>
      </c>
      <c r="I95" s="32">
        <v>0.0</v>
      </c>
      <c r="J95" s="30">
        <v>2000.0</v>
      </c>
      <c r="K95" s="31">
        <v>0.0</v>
      </c>
      <c r="L95" s="1"/>
    </row>
    <row r="96">
      <c r="A96" s="23" t="s">
        <v>838</v>
      </c>
      <c r="B96" s="17" t="s">
        <v>1203</v>
      </c>
      <c r="C96" s="25">
        <f>VLOOKUP(A96,'Hoja 2'!A:C,3,0)</f>
        <v>1</v>
      </c>
      <c r="D96" s="25" t="str">
        <f>VLOOKUP(A96,'Hoja 2'!A:D,4,0)</f>
        <v>Contrato 1</v>
      </c>
      <c r="E96" s="30">
        <v>0.0</v>
      </c>
      <c r="F96" s="31">
        <v>0.0</v>
      </c>
      <c r="G96" s="32">
        <v>0.0</v>
      </c>
      <c r="H96" s="32">
        <v>0.0</v>
      </c>
      <c r="I96" s="32">
        <v>0.0</v>
      </c>
      <c r="J96" s="30">
        <v>2000.0</v>
      </c>
      <c r="K96" s="31">
        <v>0.0</v>
      </c>
      <c r="L96" s="1"/>
    </row>
    <row r="97">
      <c r="A97" s="23" t="s">
        <v>692</v>
      </c>
      <c r="B97" s="17" t="s">
        <v>1214</v>
      </c>
      <c r="C97" s="25">
        <f>VLOOKUP(A97,'Hoja 2'!A:C,3,0)</f>
        <v>1</v>
      </c>
      <c r="D97" s="25" t="str">
        <f>VLOOKUP(A97,'Hoja 2'!A:D,4,0)</f>
        <v>Contrato 1</v>
      </c>
      <c r="E97" s="30">
        <v>0.0</v>
      </c>
      <c r="F97" s="31">
        <v>0.0</v>
      </c>
      <c r="G97" s="32">
        <v>0.0</v>
      </c>
      <c r="H97" s="32">
        <v>0.0</v>
      </c>
      <c r="I97" s="32">
        <v>0.0</v>
      </c>
      <c r="J97" s="30">
        <v>2000.0</v>
      </c>
      <c r="K97" s="31">
        <v>0.0</v>
      </c>
      <c r="L97" s="1"/>
    </row>
    <row r="98">
      <c r="A98" s="23" t="s">
        <v>1226</v>
      </c>
      <c r="B98" s="17" t="s">
        <v>1224</v>
      </c>
      <c r="C98" s="25">
        <f>VLOOKUP(A98,'Hoja 2'!A:C,3,0)</f>
        <v>1</v>
      </c>
      <c r="D98" s="25" t="str">
        <f>VLOOKUP(A98,'Hoja 2'!A:D,4,0)</f>
        <v>Contrato 1</v>
      </c>
      <c r="E98" s="30">
        <v>0.0</v>
      </c>
      <c r="F98" s="31">
        <v>0.0</v>
      </c>
      <c r="G98" s="32">
        <v>0.0</v>
      </c>
      <c r="H98" s="32">
        <v>0.0</v>
      </c>
      <c r="I98" s="32">
        <v>0.0</v>
      </c>
      <c r="J98" s="30">
        <v>0.0</v>
      </c>
      <c r="K98" s="31">
        <v>0.0</v>
      </c>
      <c r="L98" s="1"/>
    </row>
    <row r="99">
      <c r="A99" s="23" t="s">
        <v>801</v>
      </c>
      <c r="B99" s="17" t="s">
        <v>1230</v>
      </c>
      <c r="C99" s="25">
        <f>VLOOKUP(A99,'Hoja 2'!A:C,3,0)</f>
        <v>1</v>
      </c>
      <c r="D99" s="25" t="str">
        <f>VLOOKUP(A99,'Hoja 2'!A:D,4,0)</f>
        <v>Contrato 1</v>
      </c>
      <c r="E99" s="30">
        <v>0.0</v>
      </c>
      <c r="F99" s="31">
        <v>0.0</v>
      </c>
      <c r="G99" s="32">
        <v>0.0</v>
      </c>
      <c r="H99" s="32">
        <v>0.0</v>
      </c>
      <c r="I99" s="32">
        <v>0.0</v>
      </c>
      <c r="J99" s="30">
        <v>2000.0</v>
      </c>
      <c r="K99" s="31">
        <v>0.0</v>
      </c>
      <c r="L99" s="1"/>
    </row>
    <row r="100">
      <c r="A100" s="23" t="s">
        <v>1173</v>
      </c>
      <c r="B100" s="17" t="s">
        <v>1245</v>
      </c>
      <c r="C100" s="25">
        <f>VLOOKUP(A100,'Hoja 2'!A:C,3,0)</f>
        <v>1</v>
      </c>
      <c r="D100" s="25" t="str">
        <f>VLOOKUP(A100,'Hoja 2'!A:D,4,0)</f>
        <v>Contrato 1</v>
      </c>
      <c r="E100" s="30">
        <v>0.0</v>
      </c>
      <c r="F100" s="31">
        <v>0.0</v>
      </c>
      <c r="G100" s="32">
        <v>0.0</v>
      </c>
      <c r="H100" s="32">
        <v>0.0</v>
      </c>
      <c r="I100" s="32">
        <v>0.0</v>
      </c>
      <c r="J100" s="30">
        <v>2000.0</v>
      </c>
      <c r="K100" s="31">
        <v>0.0</v>
      </c>
      <c r="L100" s="1"/>
    </row>
    <row r="101">
      <c r="A101" s="23" t="s">
        <v>89</v>
      </c>
      <c r="B101" s="17" t="s">
        <v>1255</v>
      </c>
      <c r="C101" s="25">
        <f>VLOOKUP(A101,'Hoja 2'!A:C,3,0)</f>
        <v>1</v>
      </c>
      <c r="D101" s="25" t="str">
        <f>VLOOKUP(A101,'Hoja 2'!A:D,4,0)</f>
        <v>Contrato 1</v>
      </c>
      <c r="E101" s="30">
        <v>0.0</v>
      </c>
      <c r="F101" s="31">
        <v>0.0</v>
      </c>
      <c r="G101" s="32">
        <v>0.0</v>
      </c>
      <c r="H101" s="32">
        <v>0.0</v>
      </c>
      <c r="I101" s="32">
        <v>0.0</v>
      </c>
      <c r="J101" s="30">
        <v>2000.0</v>
      </c>
      <c r="K101" s="31">
        <v>0.0</v>
      </c>
      <c r="L101" s="1"/>
    </row>
    <row r="102">
      <c r="A102" s="23" t="s">
        <v>696</v>
      </c>
      <c r="B102" s="17" t="s">
        <v>1263</v>
      </c>
      <c r="C102" s="25">
        <f>VLOOKUP(A102,'Hoja 2'!A:C,3,0)</f>
        <v>1</v>
      </c>
      <c r="D102" s="25" t="str">
        <f>VLOOKUP(A102,'Hoja 2'!A:D,4,0)</f>
        <v>Contrato 1</v>
      </c>
      <c r="E102" s="30">
        <v>0.0</v>
      </c>
      <c r="F102" s="31">
        <v>0.0</v>
      </c>
      <c r="G102" s="32">
        <v>0.0</v>
      </c>
      <c r="H102" s="32">
        <v>0.0</v>
      </c>
      <c r="I102" s="32">
        <v>0.0</v>
      </c>
      <c r="J102" s="30">
        <v>2000.0</v>
      </c>
      <c r="K102" s="31">
        <v>0.0</v>
      </c>
      <c r="L102" s="1"/>
    </row>
    <row r="103">
      <c r="A103" s="23" t="s">
        <v>1087</v>
      </c>
      <c r="B103" s="17" t="s">
        <v>1271</v>
      </c>
      <c r="C103" s="25">
        <f>VLOOKUP(A103,'Hoja 2'!A:C,3,0)</f>
        <v>1</v>
      </c>
      <c r="D103" s="25" t="str">
        <f>VLOOKUP(A103,'Hoja 2'!A:D,4,0)</f>
        <v>Contrato 1</v>
      </c>
      <c r="E103" s="30">
        <v>0.0</v>
      </c>
      <c r="F103" s="31">
        <v>0.0</v>
      </c>
      <c r="G103" s="32">
        <v>0.0</v>
      </c>
      <c r="H103" s="32">
        <v>0.0</v>
      </c>
      <c r="I103" s="32">
        <v>0.0</v>
      </c>
      <c r="J103" s="30">
        <v>2000.0</v>
      </c>
      <c r="K103" s="31">
        <v>0.0</v>
      </c>
      <c r="L103" s="1"/>
    </row>
    <row r="104">
      <c r="A104" s="23" t="s">
        <v>1282</v>
      </c>
      <c r="B104" s="17" t="s">
        <v>1281</v>
      </c>
      <c r="C104" s="25">
        <f>VLOOKUP(A104,'Hoja 2'!A:C,3,0)</f>
        <v>1</v>
      </c>
      <c r="D104" s="25" t="str">
        <f>VLOOKUP(A104,'Hoja 2'!A:D,4,0)</f>
        <v>Contrato 1</v>
      </c>
      <c r="E104" s="30">
        <v>0.0</v>
      </c>
      <c r="F104" s="31">
        <v>0.0</v>
      </c>
      <c r="G104" s="32">
        <v>0.0</v>
      </c>
      <c r="H104" s="32">
        <v>0.0</v>
      </c>
      <c r="I104" s="32">
        <v>0.0</v>
      </c>
      <c r="J104" s="30">
        <v>0.0</v>
      </c>
      <c r="K104" s="31">
        <v>0.0</v>
      </c>
      <c r="L104" s="1"/>
    </row>
    <row r="105">
      <c r="A105" s="23" t="s">
        <v>217</v>
      </c>
      <c r="B105" s="17" t="s">
        <v>1293</v>
      </c>
      <c r="C105" s="25">
        <f>VLOOKUP(A105,'Hoja 2'!A:C,3,0)</f>
        <v>1</v>
      </c>
      <c r="D105" s="25" t="str">
        <f>VLOOKUP(A105,'Hoja 2'!A:D,4,0)</f>
        <v>Contrato 1</v>
      </c>
      <c r="E105" s="30">
        <v>0.0</v>
      </c>
      <c r="F105" s="31">
        <v>0.0</v>
      </c>
      <c r="G105" s="32">
        <v>0.0</v>
      </c>
      <c r="H105" s="32">
        <v>0.0</v>
      </c>
      <c r="I105" s="32">
        <v>0.0</v>
      </c>
      <c r="J105" s="30">
        <v>2000.0</v>
      </c>
      <c r="K105" s="31">
        <v>0.0</v>
      </c>
      <c r="L105" s="1"/>
    </row>
    <row r="106">
      <c r="A106" s="23" t="s">
        <v>1107</v>
      </c>
      <c r="B106" s="17" t="s">
        <v>1298</v>
      </c>
      <c r="C106" s="25">
        <f>VLOOKUP(A106,'Hoja 2'!A:C,3,0)</f>
        <v>1</v>
      </c>
      <c r="D106" s="25" t="str">
        <f>VLOOKUP(A106,'Hoja 2'!A:D,4,0)</f>
        <v>Contrato 1</v>
      </c>
      <c r="E106" s="30">
        <v>0.0</v>
      </c>
      <c r="F106" s="31">
        <v>0.0</v>
      </c>
      <c r="G106" s="32">
        <v>0.0</v>
      </c>
      <c r="H106" s="32">
        <v>0.0</v>
      </c>
      <c r="I106" s="32">
        <v>0.0</v>
      </c>
      <c r="J106" s="30">
        <v>2000.0</v>
      </c>
      <c r="K106" s="31">
        <v>0.0</v>
      </c>
      <c r="L106" s="1"/>
    </row>
    <row r="107">
      <c r="A107" s="23" t="s">
        <v>764</v>
      </c>
      <c r="B107" s="17" t="s">
        <v>1306</v>
      </c>
      <c r="C107" s="25">
        <f>VLOOKUP(A107,'Hoja 2'!A:C,3,0)</f>
        <v>1</v>
      </c>
      <c r="D107" s="25" t="str">
        <f>VLOOKUP(A107,'Hoja 2'!A:D,4,0)</f>
        <v>Contrato 1</v>
      </c>
      <c r="E107" s="30">
        <v>0.0</v>
      </c>
      <c r="F107" s="31">
        <v>0.0</v>
      </c>
      <c r="G107" s="32">
        <v>0.0</v>
      </c>
      <c r="H107" s="32">
        <v>0.0</v>
      </c>
      <c r="I107" s="32">
        <v>0.0</v>
      </c>
      <c r="J107" s="30">
        <v>2000.0</v>
      </c>
      <c r="K107" s="31">
        <v>0.0</v>
      </c>
      <c r="L107" s="1"/>
    </row>
    <row r="108">
      <c r="A108" s="23" t="s">
        <v>1315</v>
      </c>
      <c r="B108" s="17" t="s">
        <v>1313</v>
      </c>
      <c r="C108" s="25">
        <f>VLOOKUP(A108,'Hoja 2'!A:C,3,0)</f>
        <v>1</v>
      </c>
      <c r="D108" s="25" t="str">
        <f>VLOOKUP(A108,'Hoja 2'!A:D,4,0)</f>
        <v>Contrato 1</v>
      </c>
      <c r="E108" s="30">
        <v>0.0</v>
      </c>
      <c r="F108" s="31">
        <v>0.0</v>
      </c>
      <c r="G108" s="32">
        <v>0.0</v>
      </c>
      <c r="H108" s="32">
        <v>0.0</v>
      </c>
      <c r="I108" s="32">
        <v>0.0</v>
      </c>
      <c r="J108" s="30">
        <v>2000.0</v>
      </c>
      <c r="K108" s="31">
        <v>0.0</v>
      </c>
      <c r="L108" s="1"/>
    </row>
    <row r="109">
      <c r="A109" s="23" t="s">
        <v>904</v>
      </c>
      <c r="B109" s="17" t="s">
        <v>1322</v>
      </c>
      <c r="C109" s="25">
        <f>VLOOKUP(A109,'Hoja 2'!A:C,3,0)</f>
        <v>1</v>
      </c>
      <c r="D109" s="25" t="str">
        <f>VLOOKUP(A109,'Hoja 2'!A:D,4,0)</f>
        <v>Contrato 1</v>
      </c>
      <c r="E109" s="30">
        <v>0.0</v>
      </c>
      <c r="F109" s="31">
        <v>0.0</v>
      </c>
      <c r="G109" s="32">
        <v>0.0</v>
      </c>
      <c r="H109" s="32">
        <v>0.0</v>
      </c>
      <c r="I109" s="32">
        <v>0.0</v>
      </c>
      <c r="J109" s="30">
        <v>2000.0</v>
      </c>
      <c r="K109" s="31">
        <v>0.0</v>
      </c>
      <c r="L109" s="1"/>
    </row>
    <row r="110">
      <c r="A110" s="23" t="s">
        <v>1331</v>
      </c>
      <c r="B110" s="17" t="s">
        <v>1330</v>
      </c>
      <c r="C110" s="25">
        <f>VLOOKUP(A110,'Hoja 2'!A:C,3,0)</f>
        <v>1</v>
      </c>
      <c r="D110" s="25" t="str">
        <f>VLOOKUP(A110,'Hoja 2'!A:D,4,0)</f>
        <v>Contrato 1</v>
      </c>
      <c r="E110" s="30">
        <v>0.0</v>
      </c>
      <c r="F110" s="31">
        <v>0.0</v>
      </c>
      <c r="G110" s="32">
        <v>0.0</v>
      </c>
      <c r="H110" s="32">
        <v>0.0</v>
      </c>
      <c r="I110" s="32">
        <v>0.0</v>
      </c>
      <c r="J110" s="30">
        <v>2000.0</v>
      </c>
      <c r="K110" s="31">
        <v>0.0</v>
      </c>
      <c r="L110" s="1"/>
    </row>
    <row r="111">
      <c r="A111" s="23" t="s">
        <v>936</v>
      </c>
      <c r="B111" s="17" t="s">
        <v>1345</v>
      </c>
      <c r="C111" s="25">
        <f>VLOOKUP(A111,'Hoja 2'!A:C,3,0)</f>
        <v>1</v>
      </c>
      <c r="D111" s="25" t="str">
        <f>VLOOKUP(A111,'Hoja 2'!A:D,4,0)</f>
        <v>Contrato 1</v>
      </c>
      <c r="E111" s="30">
        <v>0.0</v>
      </c>
      <c r="F111" s="31">
        <v>0.0</v>
      </c>
      <c r="G111" s="32">
        <v>0.0</v>
      </c>
      <c r="H111" s="32">
        <v>0.0</v>
      </c>
      <c r="I111" s="32">
        <v>0.0</v>
      </c>
      <c r="J111" s="30">
        <v>2000.0</v>
      </c>
      <c r="K111" s="31">
        <v>0.0</v>
      </c>
      <c r="L111" s="1"/>
    </row>
    <row r="112">
      <c r="A112" s="23" t="s">
        <v>331</v>
      </c>
      <c r="B112" s="17" t="s">
        <v>1360</v>
      </c>
      <c r="C112" s="25">
        <f>VLOOKUP(A112,'Hoja 2'!A:C,3,0)</f>
        <v>1</v>
      </c>
      <c r="D112" s="25" t="str">
        <f>VLOOKUP(A112,'Hoja 2'!A:D,4,0)</f>
        <v>Contrato 1</v>
      </c>
      <c r="E112" s="30">
        <v>0.0</v>
      </c>
      <c r="F112" s="31">
        <v>0.0</v>
      </c>
      <c r="G112" s="32">
        <v>0.0</v>
      </c>
      <c r="H112" s="32">
        <v>0.0</v>
      </c>
      <c r="I112" s="32">
        <v>0.0</v>
      </c>
      <c r="J112" s="30">
        <v>2000.0</v>
      </c>
      <c r="K112" s="31">
        <v>0.0</v>
      </c>
      <c r="L112" s="1"/>
    </row>
    <row r="113">
      <c r="A113" s="23" t="s">
        <v>1089</v>
      </c>
      <c r="B113" s="17" t="s">
        <v>1373</v>
      </c>
      <c r="C113" s="25">
        <f>VLOOKUP(A113,'Hoja 2'!A:C,3,0)</f>
        <v>1</v>
      </c>
      <c r="D113" s="25" t="str">
        <f>VLOOKUP(A113,'Hoja 2'!A:D,4,0)</f>
        <v>Contrato 1</v>
      </c>
      <c r="E113" s="30">
        <v>0.0</v>
      </c>
      <c r="F113" s="31">
        <v>0.0</v>
      </c>
      <c r="G113" s="32">
        <v>0.0</v>
      </c>
      <c r="H113" s="32">
        <v>0.0</v>
      </c>
      <c r="I113" s="32">
        <v>0.0</v>
      </c>
      <c r="J113" s="30">
        <v>2000.0</v>
      </c>
      <c r="K113" s="31">
        <v>0.0</v>
      </c>
      <c r="L113" s="1"/>
    </row>
    <row r="114">
      <c r="A114" s="23" t="s">
        <v>952</v>
      </c>
      <c r="B114" s="17" t="s">
        <v>1387</v>
      </c>
      <c r="C114" s="25">
        <f>VLOOKUP(A114,'Hoja 2'!A:C,3,0)</f>
        <v>1</v>
      </c>
      <c r="D114" s="25" t="str">
        <f>VLOOKUP(A114,'Hoja 2'!A:D,4,0)</f>
        <v>Contrato 1</v>
      </c>
      <c r="E114" s="30">
        <v>0.0</v>
      </c>
      <c r="F114" s="31">
        <v>0.0</v>
      </c>
      <c r="G114" s="32">
        <v>0.0</v>
      </c>
      <c r="H114" s="32">
        <v>0.0</v>
      </c>
      <c r="I114" s="32">
        <v>0.0</v>
      </c>
      <c r="J114" s="30">
        <v>0.0</v>
      </c>
      <c r="K114" s="31">
        <v>0.0</v>
      </c>
      <c r="L114" s="1"/>
    </row>
    <row r="115">
      <c r="A115" s="23" t="s">
        <v>1402</v>
      </c>
      <c r="B115" s="17" t="s">
        <v>1401</v>
      </c>
      <c r="C115" s="25">
        <f>VLOOKUP(A115,'Hoja 2'!A:C,3,0)</f>
        <v>1</v>
      </c>
      <c r="D115" s="25" t="str">
        <f>VLOOKUP(A115,'Hoja 2'!A:D,4,0)</f>
        <v>Contrato 1</v>
      </c>
      <c r="E115" s="30">
        <v>0.0</v>
      </c>
      <c r="F115" s="31">
        <v>0.0</v>
      </c>
      <c r="G115" s="32">
        <v>0.0</v>
      </c>
      <c r="H115" s="32">
        <v>0.0</v>
      </c>
      <c r="I115" s="32">
        <v>0.0</v>
      </c>
      <c r="J115" s="30">
        <v>2000.0</v>
      </c>
      <c r="K115" s="31">
        <v>0.0</v>
      </c>
      <c r="L115" s="1"/>
    </row>
    <row r="116">
      <c r="A116" s="23" t="s">
        <v>1420</v>
      </c>
      <c r="B116" s="17" t="s">
        <v>1416</v>
      </c>
      <c r="C116" s="25">
        <f>VLOOKUP(A116,'Hoja 2'!A:C,3,0)</f>
        <v>1</v>
      </c>
      <c r="D116" s="25" t="str">
        <f>VLOOKUP(A116,'Hoja 2'!A:D,4,0)</f>
        <v>Contrato 1</v>
      </c>
      <c r="E116" s="30">
        <v>0.0</v>
      </c>
      <c r="F116" s="31">
        <v>0.0</v>
      </c>
      <c r="G116" s="32">
        <v>0.0</v>
      </c>
      <c r="H116" s="32">
        <v>0.0</v>
      </c>
      <c r="I116" s="32">
        <v>0.0</v>
      </c>
      <c r="J116" s="30">
        <v>2000.0</v>
      </c>
      <c r="K116" s="31">
        <v>0.0</v>
      </c>
      <c r="L116" s="1"/>
    </row>
    <row r="117">
      <c r="A117" s="23" t="s">
        <v>1440</v>
      </c>
      <c r="B117" s="17" t="s">
        <v>1438</v>
      </c>
      <c r="C117" s="25">
        <f>VLOOKUP(A117,'Hoja 2'!A:C,3,0)</f>
        <v>1</v>
      </c>
      <c r="D117" s="25" t="str">
        <f>VLOOKUP(A117,'Hoja 2'!A:D,4,0)</f>
        <v>Contrato 1</v>
      </c>
      <c r="E117" s="30">
        <v>0.0</v>
      </c>
      <c r="F117" s="31">
        <v>0.0</v>
      </c>
      <c r="G117" s="32">
        <v>0.0</v>
      </c>
      <c r="H117" s="32">
        <v>0.0</v>
      </c>
      <c r="I117" s="32">
        <v>0.0</v>
      </c>
      <c r="J117" s="30">
        <v>2000.0</v>
      </c>
      <c r="K117" s="31">
        <v>0.0</v>
      </c>
      <c r="L117" s="1"/>
    </row>
    <row r="118">
      <c r="A118" s="23" t="s">
        <v>179</v>
      </c>
      <c r="B118" s="17" t="s">
        <v>1447</v>
      </c>
      <c r="C118" s="25">
        <f>VLOOKUP(A118,'Hoja 2'!A:C,3,0)</f>
        <v>1</v>
      </c>
      <c r="D118" s="25" t="str">
        <f>VLOOKUP(A118,'Hoja 2'!A:D,4,0)</f>
        <v>Contrato 1</v>
      </c>
      <c r="E118" s="30">
        <v>0.0</v>
      </c>
      <c r="F118" s="31">
        <v>0.0</v>
      </c>
      <c r="G118" s="32">
        <v>0.0</v>
      </c>
      <c r="H118" s="32">
        <v>0.0</v>
      </c>
      <c r="I118" s="32">
        <v>0.0</v>
      </c>
      <c r="J118" s="30">
        <v>2000.0</v>
      </c>
      <c r="K118" s="31">
        <v>0.0</v>
      </c>
      <c r="L118" s="1"/>
    </row>
    <row r="119">
      <c r="A119" s="23" t="s">
        <v>1461</v>
      </c>
      <c r="B119" s="17" t="s">
        <v>1460</v>
      </c>
      <c r="C119" s="25">
        <f>VLOOKUP(A119,'Hoja 2'!A:C,3,0)</f>
        <v>1</v>
      </c>
      <c r="D119" s="25" t="str">
        <f>VLOOKUP(A119,'Hoja 2'!A:D,4,0)</f>
        <v>Contrato 1</v>
      </c>
      <c r="E119" s="30">
        <v>0.0</v>
      </c>
      <c r="F119" s="31">
        <v>0.0</v>
      </c>
      <c r="G119" s="32">
        <v>0.0</v>
      </c>
      <c r="H119" s="32">
        <v>0.0</v>
      </c>
      <c r="I119" s="32">
        <v>0.0</v>
      </c>
      <c r="J119" s="30">
        <v>2000.0</v>
      </c>
      <c r="K119" s="31">
        <v>0.0</v>
      </c>
      <c r="L119" s="1"/>
    </row>
    <row r="120">
      <c r="A120" s="23" t="s">
        <v>1472</v>
      </c>
      <c r="B120" s="17" t="s">
        <v>1470</v>
      </c>
      <c r="C120" s="25">
        <f>VLOOKUP(A120,'Hoja 2'!A:C,3,0)</f>
        <v>1</v>
      </c>
      <c r="D120" s="25" t="str">
        <f>VLOOKUP(A120,'Hoja 2'!A:D,4,0)</f>
        <v>Contrato 1</v>
      </c>
      <c r="E120" s="30">
        <v>0.0</v>
      </c>
      <c r="F120" s="31">
        <v>0.0</v>
      </c>
      <c r="G120" s="32">
        <v>0.0</v>
      </c>
      <c r="H120" s="32">
        <v>0.0</v>
      </c>
      <c r="I120" s="32">
        <v>0.0</v>
      </c>
      <c r="J120" s="30">
        <v>2000.0</v>
      </c>
      <c r="K120" s="31">
        <v>0.0</v>
      </c>
      <c r="L120" s="1"/>
    </row>
    <row r="121">
      <c r="A121" s="23" t="s">
        <v>1484</v>
      </c>
      <c r="B121" s="17" t="s">
        <v>1483</v>
      </c>
      <c r="C121" s="25">
        <f>VLOOKUP(A121,'Hoja 2'!A:C,3,0)</f>
        <v>1</v>
      </c>
      <c r="D121" s="25" t="str">
        <f>VLOOKUP(A121,'Hoja 2'!A:D,4,0)</f>
        <v>Contrato 1</v>
      </c>
      <c r="E121" s="30">
        <v>0.0</v>
      </c>
      <c r="F121" s="31">
        <v>0.0</v>
      </c>
      <c r="G121" s="32">
        <v>0.0</v>
      </c>
      <c r="H121" s="32">
        <v>0.0</v>
      </c>
      <c r="I121" s="32">
        <v>0.0</v>
      </c>
      <c r="J121" s="30">
        <v>2000.0</v>
      </c>
      <c r="K121" s="31">
        <v>0.0</v>
      </c>
      <c r="L121" s="1"/>
    </row>
    <row r="122">
      <c r="A122" s="23" t="s">
        <v>1045</v>
      </c>
      <c r="B122" s="17" t="s">
        <v>1498</v>
      </c>
      <c r="C122" s="25">
        <f>VLOOKUP(A122,'Hoja 2'!A:C,3,0)</f>
        <v>1</v>
      </c>
      <c r="D122" s="25" t="str">
        <f>VLOOKUP(A122,'Hoja 2'!A:D,4,0)</f>
        <v>Contrato 1</v>
      </c>
      <c r="E122" s="30">
        <v>0.0</v>
      </c>
      <c r="F122" s="31">
        <v>0.0</v>
      </c>
      <c r="G122" s="32">
        <v>0.0</v>
      </c>
      <c r="H122" s="32">
        <v>0.0</v>
      </c>
      <c r="I122" s="32">
        <v>0.0</v>
      </c>
      <c r="J122" s="30">
        <v>2000.0</v>
      </c>
      <c r="K122" s="31">
        <v>0.0</v>
      </c>
      <c r="L122" s="1"/>
    </row>
    <row r="123">
      <c r="A123" s="23" t="s">
        <v>1510</v>
      </c>
      <c r="B123" s="17" t="s">
        <v>1509</v>
      </c>
      <c r="C123" s="25">
        <f>VLOOKUP(A123,'Hoja 2'!A:C,3,0)</f>
        <v>1</v>
      </c>
      <c r="D123" s="25" t="str">
        <f>VLOOKUP(A123,'Hoja 2'!A:D,4,0)</f>
        <v>Contrato 1</v>
      </c>
      <c r="E123" s="30">
        <v>0.0</v>
      </c>
      <c r="F123" s="31">
        <v>0.0</v>
      </c>
      <c r="G123" s="32">
        <v>0.0</v>
      </c>
      <c r="H123" s="32">
        <v>0.0</v>
      </c>
      <c r="I123" s="32">
        <v>0.0</v>
      </c>
      <c r="J123" s="30">
        <v>2000.0</v>
      </c>
      <c r="K123" s="31">
        <v>0.0</v>
      </c>
      <c r="L123" s="1"/>
    </row>
    <row r="124">
      <c r="A124" s="23" t="s">
        <v>618</v>
      </c>
      <c r="B124" s="17" t="s">
        <v>1518</v>
      </c>
      <c r="C124" s="25">
        <f>VLOOKUP(A124,'Hoja 2'!A:C,3,0)</f>
        <v>1</v>
      </c>
      <c r="D124" s="25" t="str">
        <f>VLOOKUP(A124,'Hoja 2'!A:D,4,0)</f>
        <v>Contrato 1</v>
      </c>
      <c r="E124" s="30">
        <v>0.0</v>
      </c>
      <c r="F124" s="31">
        <v>0.0</v>
      </c>
      <c r="G124" s="32">
        <v>0.0</v>
      </c>
      <c r="H124" s="32">
        <v>0.0</v>
      </c>
      <c r="I124" s="32">
        <v>0.0</v>
      </c>
      <c r="J124" s="30">
        <v>2000.0</v>
      </c>
      <c r="K124" s="31">
        <v>0.0</v>
      </c>
      <c r="L124" s="1"/>
    </row>
    <row r="125">
      <c r="A125" s="23" t="s">
        <v>703</v>
      </c>
      <c r="B125" s="17" t="s">
        <v>1530</v>
      </c>
      <c r="C125" s="25">
        <f>VLOOKUP(A125,'Hoja 2'!A:C,3,0)</f>
        <v>1</v>
      </c>
      <c r="D125" s="25" t="str">
        <f>VLOOKUP(A125,'Hoja 2'!A:D,4,0)</f>
        <v>Contrato 1</v>
      </c>
      <c r="E125" s="30">
        <v>0.0</v>
      </c>
      <c r="F125" s="31">
        <v>0.0</v>
      </c>
      <c r="G125" s="32">
        <v>0.0</v>
      </c>
      <c r="H125" s="32">
        <v>0.0</v>
      </c>
      <c r="I125" s="32">
        <v>0.0</v>
      </c>
      <c r="J125" s="30">
        <v>0.0</v>
      </c>
      <c r="K125" s="31">
        <v>0.0</v>
      </c>
      <c r="L125" s="1"/>
    </row>
    <row r="126">
      <c r="A126" s="23" t="s">
        <v>1543</v>
      </c>
      <c r="B126" s="17" t="s">
        <v>1538</v>
      </c>
      <c r="C126" s="25">
        <f>VLOOKUP(A126,'Hoja 2'!A:C,3,0)</f>
        <v>1</v>
      </c>
      <c r="D126" s="25" t="str">
        <f>VLOOKUP(A126,'Hoja 2'!A:D,4,0)</f>
        <v>Contrato 1</v>
      </c>
      <c r="E126" s="30">
        <v>0.0</v>
      </c>
      <c r="F126" s="31">
        <v>0.0</v>
      </c>
      <c r="G126" s="32">
        <v>0.0</v>
      </c>
      <c r="H126" s="32">
        <v>0.0</v>
      </c>
      <c r="I126" s="32">
        <v>0.0</v>
      </c>
      <c r="J126" s="30">
        <v>0.0</v>
      </c>
      <c r="K126" s="31">
        <v>0.0</v>
      </c>
      <c r="L126" s="1"/>
    </row>
    <row r="127">
      <c r="A127" s="23" t="s">
        <v>1054</v>
      </c>
      <c r="B127" s="17" t="s">
        <v>1564</v>
      </c>
      <c r="C127" s="25">
        <f>VLOOKUP(A127,'Hoja 2'!A:C,3,0)</f>
        <v>1</v>
      </c>
      <c r="D127" s="25" t="str">
        <f>VLOOKUP(A127,'Hoja 2'!A:D,4,0)</f>
        <v>Contrato 1</v>
      </c>
      <c r="E127" s="30">
        <v>0.0</v>
      </c>
      <c r="F127" s="31">
        <v>0.0</v>
      </c>
      <c r="G127" s="32">
        <v>0.0</v>
      </c>
      <c r="H127" s="32">
        <v>0.0</v>
      </c>
      <c r="I127" s="32">
        <v>0.0</v>
      </c>
      <c r="J127" s="30">
        <v>2000.0</v>
      </c>
      <c r="K127" s="31">
        <v>0.0</v>
      </c>
      <c r="L127" s="1"/>
    </row>
    <row r="128">
      <c r="A128" s="23" t="s">
        <v>740</v>
      </c>
      <c r="B128" s="17" t="s">
        <v>1586</v>
      </c>
      <c r="C128" s="25">
        <f>VLOOKUP(A128,'Hoja 2'!A:C,3,0)</f>
        <v>1</v>
      </c>
      <c r="D128" s="25" t="str">
        <f>VLOOKUP(A128,'Hoja 2'!A:D,4,0)</f>
        <v>Contrato Manipuladora</v>
      </c>
      <c r="E128" s="30">
        <v>0.0</v>
      </c>
      <c r="F128" s="31">
        <v>0.0</v>
      </c>
      <c r="G128" s="32">
        <v>0.0</v>
      </c>
      <c r="H128" s="32">
        <v>0.0</v>
      </c>
      <c r="I128" s="32">
        <v>0.0</v>
      </c>
      <c r="J128" s="30">
        <v>2000.0</v>
      </c>
      <c r="K128" s="31">
        <v>0.0</v>
      </c>
      <c r="L128" s="1"/>
    </row>
    <row r="129">
      <c r="A129" s="23" t="s">
        <v>1003</v>
      </c>
      <c r="B129" s="17" t="s">
        <v>1599</v>
      </c>
      <c r="C129" s="25">
        <f>VLOOKUP(A129,'Hoja 2'!A:C,3,0)</f>
        <v>1</v>
      </c>
      <c r="D129" s="25" t="str">
        <f>VLOOKUP(A129,'Hoja 2'!A:D,4,0)</f>
        <v>Contrato Manipuladora</v>
      </c>
      <c r="E129" s="30">
        <v>0.0</v>
      </c>
      <c r="F129" s="31">
        <v>0.0</v>
      </c>
      <c r="G129" s="32">
        <v>0.0</v>
      </c>
      <c r="H129" s="32">
        <v>0.0</v>
      </c>
      <c r="I129" s="32">
        <v>0.0</v>
      </c>
      <c r="J129" s="30">
        <v>2000.0</v>
      </c>
      <c r="K129" s="31">
        <v>0.0</v>
      </c>
      <c r="L129" s="1"/>
    </row>
    <row r="130">
      <c r="A130" s="23" t="s">
        <v>558</v>
      </c>
      <c r="B130" s="17" t="s">
        <v>1615</v>
      </c>
      <c r="C130" s="25">
        <f>VLOOKUP(A130,'Hoja 2'!A:C,3,0)</f>
        <v>1</v>
      </c>
      <c r="D130" s="25" t="str">
        <f>VLOOKUP(A130,'Hoja 2'!A:D,4,0)</f>
        <v>Contrato Manipuladora</v>
      </c>
      <c r="E130" s="30">
        <v>0.0</v>
      </c>
      <c r="F130" s="31">
        <v>0.0</v>
      </c>
      <c r="G130" s="32">
        <v>0.0</v>
      </c>
      <c r="H130" s="32">
        <v>0.0</v>
      </c>
      <c r="I130" s="32">
        <v>0.0</v>
      </c>
      <c r="J130" s="30">
        <v>2000.0</v>
      </c>
      <c r="K130" s="31">
        <v>0.0</v>
      </c>
      <c r="L130" s="1"/>
    </row>
    <row r="131">
      <c r="A131" s="23" t="s">
        <v>1209</v>
      </c>
      <c r="B131" s="17" t="s">
        <v>1628</v>
      </c>
      <c r="C131" s="25">
        <f>VLOOKUP(A131,'Hoja 2'!A:C,3,0)</f>
        <v>1</v>
      </c>
      <c r="D131" s="25" t="str">
        <f>VLOOKUP(A131,'Hoja 2'!A:D,4,0)</f>
        <v>Contrato Manipuladora</v>
      </c>
      <c r="E131" s="30">
        <v>0.0</v>
      </c>
      <c r="F131" s="31">
        <v>0.0</v>
      </c>
      <c r="G131" s="32">
        <v>0.0</v>
      </c>
      <c r="H131" s="32">
        <v>0.0</v>
      </c>
      <c r="I131" s="32">
        <v>0.0</v>
      </c>
      <c r="J131" s="30">
        <v>2000.0</v>
      </c>
      <c r="K131" s="31">
        <v>0.0</v>
      </c>
      <c r="L131" s="1"/>
    </row>
    <row r="132">
      <c r="A132" s="23" t="s">
        <v>287</v>
      </c>
      <c r="B132" s="17" t="s">
        <v>1642</v>
      </c>
      <c r="C132" s="25">
        <f>VLOOKUP(A132,'Hoja 2'!A:C,3,0)</f>
        <v>1</v>
      </c>
      <c r="D132" s="25" t="str">
        <f>VLOOKUP(A132,'Hoja 2'!A:D,4,0)</f>
        <v>Contrato Manipuladora</v>
      </c>
      <c r="E132" s="30">
        <v>0.0</v>
      </c>
      <c r="F132" s="31">
        <v>0.0</v>
      </c>
      <c r="G132" s="32">
        <v>0.0</v>
      </c>
      <c r="H132" s="32">
        <v>0.0</v>
      </c>
      <c r="I132" s="32">
        <v>0.0</v>
      </c>
      <c r="J132" s="30">
        <v>2000.0</v>
      </c>
      <c r="K132" s="31">
        <v>0.0</v>
      </c>
      <c r="L132" s="1"/>
    </row>
    <row r="133">
      <c r="A133" s="23" t="s">
        <v>910</v>
      </c>
      <c r="B133" s="17" t="s">
        <v>1656</v>
      </c>
      <c r="C133" s="25">
        <f>VLOOKUP(A133,'Hoja 2'!A:C,3,0)</f>
        <v>2</v>
      </c>
      <c r="D133" s="25" t="str">
        <f>VLOOKUP(A133,'Hoja 2'!A:D,4,0)</f>
        <v>Contrato 2</v>
      </c>
      <c r="E133" s="30">
        <v>0.0</v>
      </c>
      <c r="F133" s="31">
        <v>0.0</v>
      </c>
      <c r="G133" s="32">
        <v>0.0</v>
      </c>
      <c r="H133" s="32">
        <v>0.0</v>
      </c>
      <c r="I133" s="32">
        <v>0.0</v>
      </c>
      <c r="J133" s="30">
        <v>2000.0</v>
      </c>
      <c r="K133" s="31">
        <v>0.0</v>
      </c>
      <c r="L133" s="1"/>
    </row>
    <row r="134">
      <c r="A134" s="23" t="s">
        <v>758</v>
      </c>
      <c r="B134" s="17" t="s">
        <v>1670</v>
      </c>
      <c r="C134" s="25">
        <f>VLOOKUP(A134,'Hoja 2'!A:C,3,0)</f>
        <v>2</v>
      </c>
      <c r="D134" s="25" t="str">
        <f>VLOOKUP(A134,'Hoja 2'!A:D,4,0)</f>
        <v>Contrato 2</v>
      </c>
      <c r="E134" s="30">
        <v>0.0</v>
      </c>
      <c r="F134" s="31">
        <v>0.0</v>
      </c>
      <c r="G134" s="32">
        <v>0.0</v>
      </c>
      <c r="H134" s="32">
        <v>0.0</v>
      </c>
      <c r="I134" s="32">
        <v>0.0</v>
      </c>
      <c r="J134" s="30">
        <v>2000.0</v>
      </c>
      <c r="K134" s="31">
        <v>2500.0</v>
      </c>
      <c r="L134" s="1"/>
    </row>
    <row r="135">
      <c r="A135" s="23" t="s">
        <v>532</v>
      </c>
      <c r="B135" s="17" t="s">
        <v>1683</v>
      </c>
      <c r="C135" s="25">
        <f>VLOOKUP(A135,'Hoja 2'!A:C,3,0)</f>
        <v>2</v>
      </c>
      <c r="D135" s="25" t="str">
        <f>VLOOKUP(A135,'Hoja 2'!A:D,4,0)</f>
        <v>CONTRATO 2</v>
      </c>
      <c r="E135" s="30">
        <v>0.0</v>
      </c>
      <c r="F135" s="31">
        <v>0.0</v>
      </c>
      <c r="G135" s="32">
        <v>0.0</v>
      </c>
      <c r="H135" s="32">
        <v>0.0</v>
      </c>
      <c r="I135" s="32">
        <v>0.0</v>
      </c>
      <c r="J135" s="30">
        <v>2000.0</v>
      </c>
      <c r="K135" s="31">
        <v>2500.0</v>
      </c>
      <c r="L135" s="1"/>
    </row>
    <row r="136">
      <c r="A136" s="23" t="s">
        <v>226</v>
      </c>
      <c r="B136" s="17" t="s">
        <v>1695</v>
      </c>
      <c r="C136" s="25">
        <f>VLOOKUP(A136,'Hoja 2'!A:C,3,0)</f>
        <v>1</v>
      </c>
      <c r="D136" s="25" t="str">
        <f>VLOOKUP(A136,'Hoja 2'!A:D,4,0)</f>
        <v>Contrato 1</v>
      </c>
      <c r="E136" s="30">
        <v>0.0</v>
      </c>
      <c r="F136" s="31">
        <v>0.0</v>
      </c>
      <c r="G136" s="32">
        <v>0.0</v>
      </c>
      <c r="H136" s="32">
        <v>0.0</v>
      </c>
      <c r="I136" s="32">
        <v>0.0</v>
      </c>
      <c r="J136" s="30">
        <v>2000.0</v>
      </c>
      <c r="K136" s="30">
        <v>2500.0</v>
      </c>
      <c r="L136" s="1" t="s">
        <v>53</v>
      </c>
    </row>
    <row r="137">
      <c r="A137" s="23" t="s">
        <v>131</v>
      </c>
      <c r="B137" s="17" t="s">
        <v>1710</v>
      </c>
      <c r="C137" s="25">
        <f>VLOOKUP(A137,'Hoja 2'!A:C,3,0)</f>
        <v>1</v>
      </c>
      <c r="D137" s="25" t="str">
        <f>VLOOKUP(A137,'Hoja 2'!A:D,4,0)</f>
        <v>Contrato 1</v>
      </c>
      <c r="E137" s="30">
        <v>0.0</v>
      </c>
      <c r="F137" s="31">
        <v>0.0</v>
      </c>
      <c r="G137" s="32">
        <v>0.0</v>
      </c>
      <c r="H137" s="32">
        <v>0.0</v>
      </c>
      <c r="I137" s="32">
        <v>0.0</v>
      </c>
      <c r="J137" s="30">
        <v>2000.0</v>
      </c>
      <c r="K137" s="30">
        <v>2500.0</v>
      </c>
      <c r="L137" s="1" t="s">
        <v>53</v>
      </c>
    </row>
    <row r="138">
      <c r="A138" s="23" t="s">
        <v>1035</v>
      </c>
      <c r="B138" s="17" t="s">
        <v>1721</v>
      </c>
      <c r="C138" s="25">
        <f>VLOOKUP(A138,'Hoja 2'!A:C,3,0)</f>
        <v>1</v>
      </c>
      <c r="D138" s="25" t="str">
        <f>VLOOKUP(A138,'Hoja 2'!A:D,4,0)</f>
        <v>Contrato 1</v>
      </c>
      <c r="E138" s="30">
        <v>0.0</v>
      </c>
      <c r="F138" s="31">
        <v>0.0</v>
      </c>
      <c r="G138" s="32">
        <v>0.0</v>
      </c>
      <c r="H138" s="32">
        <v>0.0</v>
      </c>
      <c r="I138" s="32">
        <v>0.0</v>
      </c>
      <c r="J138" s="30">
        <v>2000.0</v>
      </c>
      <c r="K138" s="30">
        <v>2500.0</v>
      </c>
      <c r="L138" s="1" t="s">
        <v>53</v>
      </c>
    </row>
    <row r="139">
      <c r="A139" s="23" t="s">
        <v>476</v>
      </c>
      <c r="B139" s="17" t="s">
        <v>1733</v>
      </c>
      <c r="C139" s="25">
        <f>VLOOKUP(A139,'Hoja 2'!A:C,3,0)</f>
        <v>1</v>
      </c>
      <c r="D139" s="25" t="str">
        <f>VLOOKUP(A139,'Hoja 2'!A:D,4,0)</f>
        <v>Contrato 1</v>
      </c>
      <c r="E139" s="30">
        <v>0.0</v>
      </c>
      <c r="F139" s="31">
        <v>0.0</v>
      </c>
      <c r="G139" s="32">
        <v>0.0</v>
      </c>
      <c r="H139" s="32">
        <v>0.0</v>
      </c>
      <c r="I139" s="32">
        <v>0.0</v>
      </c>
      <c r="J139" s="30">
        <v>2000.0</v>
      </c>
      <c r="K139" s="30">
        <v>2500.0</v>
      </c>
      <c r="L139" s="1" t="s">
        <v>53</v>
      </c>
    </row>
    <row r="140">
      <c r="A140" s="23" t="s">
        <v>545</v>
      </c>
      <c r="B140" s="17" t="s">
        <v>1749</v>
      </c>
      <c r="C140" s="25">
        <f>VLOOKUP(A140,'Hoja 2'!A:C,3,0)</f>
        <v>1</v>
      </c>
      <c r="D140" s="25" t="str">
        <f>VLOOKUP(A140,'Hoja 2'!A:D,4,0)</f>
        <v>Contrato 1</v>
      </c>
      <c r="E140" s="30">
        <v>0.0</v>
      </c>
      <c r="F140" s="31">
        <v>0.0</v>
      </c>
      <c r="G140" s="32">
        <v>0.0</v>
      </c>
      <c r="H140" s="32">
        <v>0.0</v>
      </c>
      <c r="I140" s="32">
        <v>0.0</v>
      </c>
      <c r="J140" s="30">
        <v>2000.0</v>
      </c>
      <c r="K140" s="30">
        <v>2500.0</v>
      </c>
      <c r="L140" s="1" t="s">
        <v>53</v>
      </c>
    </row>
    <row r="141">
      <c r="A141" s="23" t="s">
        <v>1765</v>
      </c>
      <c r="B141" s="17" t="s">
        <v>1763</v>
      </c>
      <c r="C141" s="25">
        <f>VLOOKUP(A141,'Hoja 2'!A:C,3,0)</f>
        <v>1</v>
      </c>
      <c r="D141" s="25" t="str">
        <f>VLOOKUP(A141,'Hoja 2'!A:D,4,0)</f>
        <v>Contrato 1</v>
      </c>
      <c r="E141" s="30">
        <v>0.0</v>
      </c>
      <c r="F141" s="31">
        <v>0.0</v>
      </c>
      <c r="G141" s="32">
        <v>0.0</v>
      </c>
      <c r="H141" s="32">
        <v>0.0</v>
      </c>
      <c r="I141" s="32">
        <v>0.0</v>
      </c>
      <c r="J141" s="30">
        <v>2000.0</v>
      </c>
      <c r="K141" s="30">
        <v>2500.0</v>
      </c>
      <c r="L141" s="1" t="s">
        <v>53</v>
      </c>
    </row>
    <row r="142">
      <c r="A142" s="23" t="s">
        <v>1775</v>
      </c>
      <c r="B142" s="17" t="s">
        <v>1774</v>
      </c>
      <c r="C142" s="25">
        <f>VLOOKUP(A142,'Hoja 2'!A:C,3,0)</f>
        <v>1</v>
      </c>
      <c r="D142" s="25" t="str">
        <f>VLOOKUP(A142,'Hoja 2'!A:D,4,0)</f>
        <v>Contrato 1</v>
      </c>
      <c r="E142" s="30">
        <v>0.0</v>
      </c>
      <c r="F142" s="31">
        <v>0.0</v>
      </c>
      <c r="G142" s="32">
        <v>0.0</v>
      </c>
      <c r="H142" s="32">
        <v>0.0</v>
      </c>
      <c r="I142" s="32">
        <v>0.0</v>
      </c>
      <c r="J142" s="30">
        <v>2000.0</v>
      </c>
      <c r="K142" s="30">
        <v>2500.0</v>
      </c>
      <c r="L142" s="1" t="s">
        <v>53</v>
      </c>
    </row>
    <row r="143">
      <c r="A143" s="23" t="s">
        <v>760</v>
      </c>
      <c r="B143" s="17" t="s">
        <v>1792</v>
      </c>
      <c r="C143" s="25">
        <f>VLOOKUP(A143,'Hoja 2'!A:C,3,0)</f>
        <v>1</v>
      </c>
      <c r="D143" s="25" t="str">
        <f>VLOOKUP(A143,'Hoja 2'!A:D,4,0)</f>
        <v>Contrato 1</v>
      </c>
      <c r="E143" s="30">
        <v>0.0</v>
      </c>
      <c r="F143" s="31">
        <v>0.0</v>
      </c>
      <c r="G143" s="32">
        <v>0.0</v>
      </c>
      <c r="H143" s="32">
        <v>0.0</v>
      </c>
      <c r="I143" s="32">
        <v>0.0</v>
      </c>
      <c r="J143" s="30">
        <v>2000.0</v>
      </c>
      <c r="K143" s="30">
        <v>0.0</v>
      </c>
      <c r="L143" s="1" t="s">
        <v>53</v>
      </c>
    </row>
    <row r="144">
      <c r="A144" s="23" t="s">
        <v>343</v>
      </c>
      <c r="B144" s="17" t="s">
        <v>1805</v>
      </c>
      <c r="C144" s="25">
        <f>VLOOKUP(A144,'Hoja 2'!A:C,3,0)</f>
        <v>1</v>
      </c>
      <c r="D144" s="25" t="str">
        <f>VLOOKUP(A144,'Hoja 2'!A:D,4,0)</f>
        <v>Contrato 1</v>
      </c>
      <c r="E144" s="30">
        <v>0.0</v>
      </c>
      <c r="F144" s="31">
        <v>0.0</v>
      </c>
      <c r="G144" s="32">
        <v>0.0</v>
      </c>
      <c r="H144" s="32">
        <v>0.0</v>
      </c>
      <c r="I144" s="32">
        <v>0.0</v>
      </c>
      <c r="J144" s="30">
        <v>2000.0</v>
      </c>
      <c r="K144" s="30">
        <v>2500.0</v>
      </c>
      <c r="L144" s="1" t="s">
        <v>53</v>
      </c>
    </row>
    <row r="145">
      <c r="A145" s="23" t="s">
        <v>1295</v>
      </c>
      <c r="B145" s="17" t="s">
        <v>1820</v>
      </c>
      <c r="C145" s="25">
        <f>VLOOKUP(A145,'Hoja 2'!A:C,3,0)</f>
        <v>1</v>
      </c>
      <c r="D145" s="25" t="str">
        <f>VLOOKUP(A145,'Hoja 2'!A:D,4,0)</f>
        <v>Contrato Manipuladora</v>
      </c>
      <c r="E145" s="30">
        <v>0.0</v>
      </c>
      <c r="F145" s="31">
        <v>0.0</v>
      </c>
      <c r="G145" s="32">
        <v>0.0</v>
      </c>
      <c r="H145" s="32">
        <v>0.0</v>
      </c>
      <c r="I145" s="32">
        <v>0.0</v>
      </c>
      <c r="J145" s="30">
        <v>2000.0</v>
      </c>
      <c r="K145" s="31">
        <v>0.0</v>
      </c>
      <c r="L145" s="1"/>
    </row>
    <row r="146">
      <c r="A146" s="23" t="s">
        <v>852</v>
      </c>
      <c r="B146" s="17" t="s">
        <v>1837</v>
      </c>
      <c r="C146" s="25">
        <f>VLOOKUP(A146,'Hoja 2'!A:C,3,0)</f>
        <v>1</v>
      </c>
      <c r="D146" s="25" t="str">
        <f>VLOOKUP(A146,'Hoja 2'!A:D,4,0)</f>
        <v>Contrato 1</v>
      </c>
      <c r="E146" s="30">
        <v>0.0</v>
      </c>
      <c r="F146" s="31">
        <v>0.0</v>
      </c>
      <c r="G146" s="32">
        <v>0.0</v>
      </c>
      <c r="H146" s="32">
        <v>0.0</v>
      </c>
      <c r="I146" s="32">
        <v>0.0</v>
      </c>
      <c r="J146" s="30">
        <v>2000.0</v>
      </c>
      <c r="K146" s="30">
        <v>2500.0</v>
      </c>
      <c r="L146" s="1" t="s">
        <v>53</v>
      </c>
    </row>
    <row r="147">
      <c r="A147" s="23" t="s">
        <v>594</v>
      </c>
      <c r="B147" s="17" t="s">
        <v>1853</v>
      </c>
      <c r="C147" s="25">
        <f>VLOOKUP(A147,'Hoja 2'!A:C,3,0)</f>
        <v>1</v>
      </c>
      <c r="D147" s="25" t="str">
        <f>VLOOKUP(A147,'Hoja 2'!A:D,4,0)</f>
        <v>Contrato Manipuladora</v>
      </c>
      <c r="E147" s="30">
        <v>0.0</v>
      </c>
      <c r="F147" s="31">
        <v>0.0</v>
      </c>
      <c r="G147" s="32">
        <v>0.0</v>
      </c>
      <c r="H147" s="32">
        <v>0.0</v>
      </c>
      <c r="I147" s="32">
        <v>0.0</v>
      </c>
      <c r="J147" s="30">
        <v>2000.0</v>
      </c>
      <c r="K147" s="31">
        <v>2500.0</v>
      </c>
      <c r="L147" s="1"/>
    </row>
    <row r="148">
      <c r="A148" s="23" t="s">
        <v>1863</v>
      </c>
      <c r="B148" s="17" t="s">
        <v>1862</v>
      </c>
      <c r="C148" s="25">
        <f>VLOOKUP(A148,'Hoja 2'!A:C,3,0)</f>
        <v>1</v>
      </c>
      <c r="D148" s="25" t="str">
        <f>VLOOKUP(A148,'Hoja 2'!A:D,4,0)</f>
        <v>Contrato 1</v>
      </c>
      <c r="E148" s="30">
        <v>0.0</v>
      </c>
      <c r="F148" s="31">
        <v>0.0</v>
      </c>
      <c r="G148" s="32">
        <v>0.0</v>
      </c>
      <c r="H148" s="32">
        <v>0.0</v>
      </c>
      <c r="I148" s="32">
        <v>0.0</v>
      </c>
      <c r="J148" s="30">
        <v>2000.0</v>
      </c>
      <c r="K148" s="30">
        <v>2500.0</v>
      </c>
      <c r="L148" s="1" t="s">
        <v>53</v>
      </c>
    </row>
    <row r="149">
      <c r="A149" s="23" t="s">
        <v>1085</v>
      </c>
      <c r="B149" s="17" t="s">
        <v>1876</v>
      </c>
      <c r="C149" s="25">
        <f>VLOOKUP(A149,'Hoja 2'!A:C,3,0)</f>
        <v>1</v>
      </c>
      <c r="D149" s="25" t="str">
        <f>VLOOKUP(A149,'Hoja 2'!A:D,4,0)</f>
        <v>Contrato 1</v>
      </c>
      <c r="E149" s="30">
        <v>0.0</v>
      </c>
      <c r="F149" s="31">
        <v>0.0</v>
      </c>
      <c r="G149" s="32">
        <v>0.0</v>
      </c>
      <c r="H149" s="32">
        <v>0.0</v>
      </c>
      <c r="I149" s="32">
        <v>0.0</v>
      </c>
      <c r="J149" s="30">
        <v>2000.0</v>
      </c>
      <c r="K149" s="30">
        <v>2500.0</v>
      </c>
      <c r="L149" s="1" t="s">
        <v>53</v>
      </c>
    </row>
    <row r="150">
      <c r="A150" s="23" t="s">
        <v>708</v>
      </c>
      <c r="B150" s="17" t="s">
        <v>1892</v>
      </c>
      <c r="C150" s="25">
        <f>VLOOKUP(A150,'Hoja 2'!A:C,3,0)</f>
        <v>1</v>
      </c>
      <c r="D150" s="25" t="str">
        <f>VLOOKUP(A150,'Hoja 2'!A:D,4,0)</f>
        <v>Contrato 1</v>
      </c>
      <c r="E150" s="30">
        <v>0.0</v>
      </c>
      <c r="F150" s="31">
        <v>0.0</v>
      </c>
      <c r="G150" s="32">
        <v>0.0</v>
      </c>
      <c r="H150" s="32">
        <v>0.0</v>
      </c>
      <c r="I150" s="32">
        <v>0.0</v>
      </c>
      <c r="J150" s="30">
        <v>2000.0</v>
      </c>
      <c r="K150" s="30">
        <v>2500.0</v>
      </c>
      <c r="L150" s="1" t="s">
        <v>53</v>
      </c>
    </row>
    <row r="151">
      <c r="A151" s="23" t="s">
        <v>1168</v>
      </c>
      <c r="B151" s="17" t="s">
        <v>1905</v>
      </c>
      <c r="C151" s="25">
        <f>VLOOKUP(A151,'Hoja 2'!A:C,3,0)</f>
        <v>1</v>
      </c>
      <c r="D151" s="25" t="str">
        <f>VLOOKUP(A151,'Hoja 2'!A:D,4,0)</f>
        <v>Contrato 1</v>
      </c>
      <c r="E151" s="30">
        <v>0.0</v>
      </c>
      <c r="F151" s="31">
        <v>0.0</v>
      </c>
      <c r="G151" s="32">
        <v>0.0</v>
      </c>
      <c r="H151" s="32">
        <v>0.0</v>
      </c>
      <c r="I151" s="32">
        <v>0.0</v>
      </c>
      <c r="J151" s="30">
        <v>2000.0</v>
      </c>
      <c r="K151" s="30">
        <v>2500.0</v>
      </c>
      <c r="L151" s="1" t="s">
        <v>53</v>
      </c>
    </row>
    <row r="152">
      <c r="A152" s="23" t="s">
        <v>1505</v>
      </c>
      <c r="B152" s="17" t="s">
        <v>1921</v>
      </c>
      <c r="C152" s="25">
        <f>VLOOKUP(A152,'Hoja 2'!A:C,3,0)</f>
        <v>1</v>
      </c>
      <c r="D152" s="25" t="str">
        <f>VLOOKUP(A152,'Hoja 2'!A:D,4,0)</f>
        <v>Contrato 1</v>
      </c>
      <c r="E152" s="30">
        <v>0.0</v>
      </c>
      <c r="F152" s="31">
        <v>0.0</v>
      </c>
      <c r="G152" s="32">
        <v>0.0</v>
      </c>
      <c r="H152" s="32">
        <v>0.0</v>
      </c>
      <c r="I152" s="32">
        <v>0.0</v>
      </c>
      <c r="J152" s="30">
        <v>2000.0</v>
      </c>
      <c r="K152" s="30">
        <v>2500.0</v>
      </c>
      <c r="L152" s="1" t="s">
        <v>53</v>
      </c>
    </row>
    <row r="153">
      <c r="A153" s="23" t="s">
        <v>974</v>
      </c>
      <c r="B153" s="17" t="s">
        <v>1939</v>
      </c>
      <c r="C153" s="25">
        <f>VLOOKUP(A153,'Hoja 2'!A:C,3,0)</f>
        <v>1</v>
      </c>
      <c r="D153" s="25" t="str">
        <f>VLOOKUP(A153,'Hoja 2'!A:D,4,0)</f>
        <v>Contrato 1</v>
      </c>
      <c r="E153" s="30">
        <v>0.0</v>
      </c>
      <c r="F153" s="31">
        <v>0.0</v>
      </c>
      <c r="G153" s="32">
        <v>0.0</v>
      </c>
      <c r="H153" s="32">
        <v>0.0</v>
      </c>
      <c r="I153" s="32">
        <v>0.0</v>
      </c>
      <c r="J153" s="30">
        <v>0.0</v>
      </c>
      <c r="K153" s="30">
        <v>0.0</v>
      </c>
      <c r="L153" s="1" t="s">
        <v>53</v>
      </c>
    </row>
    <row r="154">
      <c r="A154" s="23" t="s">
        <v>271</v>
      </c>
      <c r="B154" s="17" t="s">
        <v>1952</v>
      </c>
      <c r="C154" s="25">
        <f>VLOOKUP(A154,'Hoja 2'!A:C,3,0)</f>
        <v>1</v>
      </c>
      <c r="D154" s="25" t="str">
        <f>VLOOKUP(A154,'Hoja 2'!A:D,4,0)</f>
        <v>Contrato 1</v>
      </c>
      <c r="E154" s="30">
        <v>0.0</v>
      </c>
      <c r="F154" s="31">
        <v>0.0</v>
      </c>
      <c r="G154" s="32">
        <v>0.0</v>
      </c>
      <c r="H154" s="32">
        <v>0.0</v>
      </c>
      <c r="I154" s="32">
        <v>0.0</v>
      </c>
      <c r="J154" s="30">
        <v>0.0</v>
      </c>
      <c r="K154" s="30">
        <v>0.0</v>
      </c>
      <c r="L154" s="1" t="s">
        <v>53</v>
      </c>
    </row>
    <row r="155">
      <c r="A155" s="23" t="s">
        <v>612</v>
      </c>
      <c r="B155" s="17" t="s">
        <v>1953</v>
      </c>
      <c r="C155" s="25">
        <f>VLOOKUP(A155,'Hoja 2'!A:C,3,0)</f>
        <v>1</v>
      </c>
      <c r="D155" s="25" t="str">
        <f>VLOOKUP(A155,'Hoja 2'!A:D,4,0)</f>
        <v>Contrato 1</v>
      </c>
      <c r="E155" s="30">
        <v>0.0</v>
      </c>
      <c r="F155" s="31">
        <v>0.0</v>
      </c>
      <c r="G155" s="30">
        <v>0.0</v>
      </c>
      <c r="H155" s="38">
        <v>0.0</v>
      </c>
      <c r="I155" s="39">
        <v>0.0</v>
      </c>
      <c r="J155" s="30">
        <v>0.0</v>
      </c>
      <c r="K155" s="31">
        <v>0.0</v>
      </c>
      <c r="L155" s="1"/>
    </row>
    <row r="156">
      <c r="A156" s="23" t="s">
        <v>1648</v>
      </c>
      <c r="B156" s="17" t="s">
        <v>1954</v>
      </c>
      <c r="C156" s="25">
        <f>VLOOKUP(A156,'Hoja 2'!A:C,3,0)</f>
        <v>1</v>
      </c>
      <c r="D156" s="25" t="str">
        <f>VLOOKUP(A156,'Hoja 2'!A:D,4,0)</f>
        <v>Contrato 1</v>
      </c>
      <c r="E156" s="30">
        <v>0.0</v>
      </c>
      <c r="F156" s="31">
        <v>0.0</v>
      </c>
      <c r="G156" s="30">
        <v>0.0</v>
      </c>
      <c r="H156" s="38">
        <v>0.0</v>
      </c>
      <c r="I156" s="39">
        <v>0.0</v>
      </c>
      <c r="J156" s="30">
        <v>0.0</v>
      </c>
      <c r="K156" s="31">
        <v>0.0</v>
      </c>
      <c r="L156" s="1"/>
    </row>
    <row r="157">
      <c r="A157" s="23" t="s">
        <v>646</v>
      </c>
      <c r="B157" s="17" t="s">
        <v>1955</v>
      </c>
      <c r="C157" s="25">
        <f>VLOOKUP(A157,'Hoja 2'!A:C,3,0)</f>
        <v>1</v>
      </c>
      <c r="D157" s="25" t="str">
        <f>VLOOKUP(A157,'Hoja 2'!A:D,4,0)</f>
        <v>Contrato 1</v>
      </c>
      <c r="E157" s="30">
        <v>0.0</v>
      </c>
      <c r="F157" s="31">
        <v>0.0</v>
      </c>
      <c r="G157" s="30">
        <v>0.0</v>
      </c>
      <c r="H157" s="38">
        <v>0.0</v>
      </c>
      <c r="I157" s="39">
        <v>0.0</v>
      </c>
      <c r="J157" s="30">
        <v>0.0</v>
      </c>
      <c r="K157" s="31">
        <v>0.0</v>
      </c>
      <c r="L157" s="1"/>
    </row>
    <row r="158">
      <c r="A158" s="23" t="s">
        <v>48</v>
      </c>
      <c r="B158" s="17" t="s">
        <v>41</v>
      </c>
      <c r="C158" s="25">
        <f>VLOOKUP(A158,'Hoja 2'!A:C,3,0)</f>
        <v>1</v>
      </c>
      <c r="D158" s="25" t="str">
        <f>VLOOKUP(A158,'Hoja 2'!A:D,4,0)</f>
        <v>Contrato Manipuladora</v>
      </c>
      <c r="E158" s="30">
        <v>0.0</v>
      </c>
      <c r="F158" s="31">
        <v>0.0</v>
      </c>
      <c r="G158" s="30">
        <v>0.0</v>
      </c>
      <c r="H158" s="38">
        <v>0.0</v>
      </c>
      <c r="I158" s="39">
        <v>0.0</v>
      </c>
      <c r="J158" s="30">
        <v>0.0</v>
      </c>
      <c r="K158" s="31">
        <v>0.0</v>
      </c>
      <c r="L158" s="1"/>
    </row>
    <row r="159">
      <c r="A159" s="23" t="s">
        <v>85</v>
      </c>
      <c r="B159" s="17" t="s">
        <v>1956</v>
      </c>
      <c r="C159" s="25">
        <f>VLOOKUP(A159,'Hoja 2'!A:C,3,0)</f>
        <v>1</v>
      </c>
      <c r="D159" s="25" t="str">
        <f>VLOOKUP(A159,'Hoja 2'!A:D,4,0)</f>
        <v>Contrato 1</v>
      </c>
      <c r="E159" s="30">
        <v>0.0</v>
      </c>
      <c r="F159" s="31">
        <v>0.0</v>
      </c>
      <c r="G159" s="30">
        <v>0.0</v>
      </c>
      <c r="H159" s="38">
        <v>0.0</v>
      </c>
      <c r="I159" s="39">
        <v>0.0</v>
      </c>
      <c r="J159" s="30">
        <v>0.0</v>
      </c>
      <c r="K159" s="31">
        <v>0.0</v>
      </c>
      <c r="L159" s="1"/>
    </row>
    <row r="160">
      <c r="A160" s="23" t="s">
        <v>468</v>
      </c>
      <c r="B160" s="17" t="s">
        <v>1957</v>
      </c>
      <c r="C160" s="25">
        <f>VLOOKUP(A160,'Hoja 2'!A:C,3,0)</f>
        <v>1</v>
      </c>
      <c r="D160" s="25" t="str">
        <f>VLOOKUP(A160,'Hoja 2'!A:D,4,0)</f>
        <v>Contrato 1</v>
      </c>
      <c r="E160" s="30">
        <v>0.0</v>
      </c>
      <c r="F160" s="31">
        <v>0.0</v>
      </c>
      <c r="G160" s="30">
        <v>0.0</v>
      </c>
      <c r="H160" s="38">
        <v>0.0</v>
      </c>
      <c r="I160" s="39">
        <v>0.0</v>
      </c>
      <c r="J160" s="30">
        <v>0.0</v>
      </c>
      <c r="K160" s="31">
        <v>0.0</v>
      </c>
      <c r="L160" s="1"/>
    </row>
    <row r="161">
      <c r="A161" s="23" t="s">
        <v>568</v>
      </c>
      <c r="B161" s="17" t="s">
        <v>569</v>
      </c>
      <c r="C161" s="25">
        <f>VLOOKUP(A161,'Hoja 2'!A:C,3,0)</f>
        <v>1</v>
      </c>
      <c r="D161" s="25" t="str">
        <f>VLOOKUP(A161,'Hoja 2'!A:D,4,0)</f>
        <v>Contrato 1</v>
      </c>
      <c r="E161" s="30">
        <v>0.0</v>
      </c>
      <c r="F161" s="31">
        <v>0.0</v>
      </c>
      <c r="G161" s="30">
        <v>0.0</v>
      </c>
      <c r="H161" s="38">
        <v>0.0</v>
      </c>
      <c r="I161" s="39">
        <v>0.0</v>
      </c>
      <c r="J161" s="30">
        <v>0.0</v>
      </c>
      <c r="K161" s="31">
        <v>0.0</v>
      </c>
      <c r="L161" s="1"/>
    </row>
    <row r="162">
      <c r="A162" s="23" t="s">
        <v>1307</v>
      </c>
      <c r="B162" s="17" t="s">
        <v>1958</v>
      </c>
      <c r="C162" s="25">
        <f>VLOOKUP(A162,'Hoja 2'!A:C,3,0)</f>
        <v>1</v>
      </c>
      <c r="D162" s="25" t="str">
        <f>VLOOKUP(A162,'Hoja 2'!A:D,4,0)</f>
        <v>Contrato 1</v>
      </c>
      <c r="E162" s="30">
        <v>0.0</v>
      </c>
      <c r="F162" s="31">
        <v>0.0</v>
      </c>
      <c r="G162" s="30">
        <v>0.0</v>
      </c>
      <c r="H162" s="38">
        <v>0.0</v>
      </c>
      <c r="I162" s="39">
        <v>0.0</v>
      </c>
      <c r="J162" s="30">
        <v>0.0</v>
      </c>
      <c r="K162" s="31">
        <v>0.0</v>
      </c>
      <c r="L162" s="1"/>
    </row>
    <row r="163">
      <c r="A163" s="23" t="s">
        <v>1196</v>
      </c>
      <c r="B163" s="17" t="s">
        <v>1959</v>
      </c>
      <c r="C163" s="25">
        <f>VLOOKUP(A163,'Hoja 2'!A:C,3,0)</f>
        <v>1</v>
      </c>
      <c r="D163" s="25" t="str">
        <f>VLOOKUP(A163,'Hoja 2'!A:D,4,0)</f>
        <v>Contrato 1</v>
      </c>
      <c r="E163" s="30">
        <v>0.0</v>
      </c>
      <c r="F163" s="31">
        <v>0.0</v>
      </c>
      <c r="G163" s="30">
        <v>0.0</v>
      </c>
      <c r="H163" s="38">
        <v>0.0</v>
      </c>
      <c r="I163" s="39">
        <v>0.0</v>
      </c>
      <c r="J163" s="30">
        <v>0.0</v>
      </c>
      <c r="K163" s="31">
        <v>0.0</v>
      </c>
      <c r="L163" s="1"/>
    </row>
    <row r="164">
      <c r="A164" s="23" t="s">
        <v>161</v>
      </c>
      <c r="B164" s="17" t="s">
        <v>162</v>
      </c>
      <c r="C164" s="25">
        <f>VLOOKUP(A164,'Hoja 2'!A:C,3,0)</f>
        <v>1</v>
      </c>
      <c r="D164" s="25" t="str">
        <f>VLOOKUP(A164,'Hoja 2'!A:D,4,0)</f>
        <v>Contrato 1</v>
      </c>
      <c r="E164" s="30">
        <v>0.0</v>
      </c>
      <c r="F164" s="31">
        <v>0.0</v>
      </c>
      <c r="G164" s="30">
        <v>0.0</v>
      </c>
      <c r="H164" s="38">
        <v>0.0</v>
      </c>
      <c r="I164" s="39">
        <v>0.0</v>
      </c>
      <c r="J164" s="30">
        <v>0.0</v>
      </c>
      <c r="K164" s="31">
        <v>0.0</v>
      </c>
      <c r="L164" s="1"/>
    </row>
    <row r="165">
      <c r="A165" s="23" t="s">
        <v>1356</v>
      </c>
      <c r="B165" s="17" t="s">
        <v>1357</v>
      </c>
      <c r="C165" s="25">
        <f>VLOOKUP(A165,'Hoja 2'!A:C,3,0)</f>
        <v>1</v>
      </c>
      <c r="D165" s="25" t="str">
        <f>VLOOKUP(A165,'Hoja 2'!A:D,4,0)</f>
        <v>Contrato 1</v>
      </c>
      <c r="E165" s="30">
        <v>0.0</v>
      </c>
      <c r="F165" s="31">
        <v>0.0</v>
      </c>
      <c r="G165" s="30">
        <v>0.0</v>
      </c>
      <c r="H165" s="38">
        <v>0.0</v>
      </c>
      <c r="I165" s="39">
        <v>0.0</v>
      </c>
      <c r="J165" s="30">
        <v>0.0</v>
      </c>
      <c r="K165" s="31">
        <v>0.0</v>
      </c>
      <c r="L165" s="1"/>
    </row>
    <row r="166">
      <c r="A166" s="23" t="s">
        <v>602</v>
      </c>
      <c r="B166" s="17" t="s">
        <v>1960</v>
      </c>
      <c r="C166" s="25">
        <f>VLOOKUP(A166,'Hoja 2'!A:C,3,0)</f>
        <v>1</v>
      </c>
      <c r="D166" s="25" t="str">
        <f>VLOOKUP(A166,'Hoja 2'!A:D,4,0)</f>
        <v>Contrato Manipuladora</v>
      </c>
      <c r="E166" s="30">
        <v>0.0</v>
      </c>
      <c r="F166" s="31">
        <v>0.0</v>
      </c>
      <c r="G166" s="30">
        <v>0.0</v>
      </c>
      <c r="H166" s="38">
        <v>0.0</v>
      </c>
      <c r="I166" s="39">
        <v>0.0</v>
      </c>
      <c r="J166" s="30">
        <v>0.0</v>
      </c>
      <c r="K166" s="31">
        <v>0.0</v>
      </c>
      <c r="L166" s="1"/>
    </row>
    <row r="167">
      <c r="A167" s="23" t="s">
        <v>381</v>
      </c>
      <c r="B167" s="17" t="s">
        <v>1961</v>
      </c>
      <c r="C167" s="25">
        <f>VLOOKUP(A167,'Hoja 2'!A:C,3,0)</f>
        <v>1</v>
      </c>
      <c r="D167" s="25" t="str">
        <f>VLOOKUP(A167,'Hoja 2'!A:D,4,0)</f>
        <v>Contrato 1</v>
      </c>
      <c r="E167" s="30">
        <v>0.0</v>
      </c>
      <c r="F167" s="31">
        <v>0.0</v>
      </c>
      <c r="G167" s="30">
        <v>0.0</v>
      </c>
      <c r="H167" s="38">
        <v>0.0</v>
      </c>
      <c r="I167" s="39">
        <v>0.0</v>
      </c>
      <c r="J167" s="30">
        <v>0.0</v>
      </c>
      <c r="K167" s="31">
        <v>0.0</v>
      </c>
      <c r="L167" s="1"/>
    </row>
    <row r="168">
      <c r="A168" s="23" t="s">
        <v>123</v>
      </c>
      <c r="B168" s="17" t="s">
        <v>1962</v>
      </c>
      <c r="C168" s="25">
        <f>VLOOKUP(A168,'Hoja 2'!A:C,3,0)</f>
        <v>1</v>
      </c>
      <c r="D168" s="25" t="str">
        <f>VLOOKUP(A168,'Hoja 2'!A:D,4,0)</f>
        <v>Contrato 1</v>
      </c>
      <c r="E168" s="30">
        <v>0.0</v>
      </c>
      <c r="F168" s="31">
        <v>0.0</v>
      </c>
      <c r="G168" s="30">
        <v>0.0</v>
      </c>
      <c r="H168" s="38">
        <v>0.0</v>
      </c>
      <c r="I168" s="39">
        <v>0.0</v>
      </c>
      <c r="J168" s="30">
        <v>0.0</v>
      </c>
      <c r="K168" s="31">
        <v>0.0</v>
      </c>
      <c r="L168" s="1"/>
    </row>
    <row r="169">
      <c r="A169" s="23" t="s">
        <v>810</v>
      </c>
      <c r="B169" s="17" t="s">
        <v>1963</v>
      </c>
      <c r="C169" s="25">
        <f>VLOOKUP(A169,'Hoja 2'!A:C,3,0)</f>
        <v>1</v>
      </c>
      <c r="D169" s="25" t="str">
        <f>VLOOKUP(A169,'Hoja 2'!A:D,4,0)</f>
        <v>Contrato 1</v>
      </c>
      <c r="E169" s="30">
        <v>0.0</v>
      </c>
      <c r="F169" s="31">
        <v>0.0</v>
      </c>
      <c r="G169" s="30">
        <v>0.0</v>
      </c>
      <c r="H169" s="38">
        <v>0.0</v>
      </c>
      <c r="I169" s="39">
        <v>0.0</v>
      </c>
      <c r="J169" s="30">
        <v>0.0</v>
      </c>
      <c r="K169" s="31">
        <v>0.0</v>
      </c>
      <c r="L169" s="1"/>
    </row>
    <row r="170">
      <c r="A170" s="23" t="s">
        <v>1177</v>
      </c>
      <c r="B170" s="17" t="s">
        <v>1964</v>
      </c>
      <c r="C170" s="25">
        <f>VLOOKUP(A170,'Hoja 2'!A:C,3,0)</f>
        <v>1</v>
      </c>
      <c r="D170" s="25" t="str">
        <f>VLOOKUP(A170,'Hoja 2'!A:D,4,0)</f>
        <v>Contrato 1</v>
      </c>
      <c r="E170" s="30">
        <v>0.0</v>
      </c>
      <c r="F170" s="31">
        <v>0.0</v>
      </c>
      <c r="G170" s="30">
        <v>0.0</v>
      </c>
      <c r="H170" s="38">
        <v>0.0</v>
      </c>
      <c r="I170" s="39">
        <v>0.0</v>
      </c>
      <c r="J170" s="30">
        <v>0.0</v>
      </c>
      <c r="K170" s="31">
        <v>0.0</v>
      </c>
      <c r="L170" s="1"/>
    </row>
    <row r="171">
      <c r="A171" s="23" t="s">
        <v>792</v>
      </c>
      <c r="B171" s="17" t="s">
        <v>1965</v>
      </c>
      <c r="C171" s="25">
        <f>VLOOKUP(A171,'Hoja 2'!A:C,3,0)</f>
        <v>1</v>
      </c>
      <c r="D171" s="25" t="str">
        <f>VLOOKUP(A171,'Hoja 2'!A:D,4,0)</f>
        <v>Contrato 1</v>
      </c>
      <c r="E171" s="30">
        <v>0.0</v>
      </c>
      <c r="F171" s="31">
        <v>0.0</v>
      </c>
      <c r="G171" s="30">
        <v>0.0</v>
      </c>
      <c r="H171" s="38">
        <v>0.0</v>
      </c>
      <c r="I171" s="39">
        <v>0.0</v>
      </c>
      <c r="J171" s="30">
        <v>0.0</v>
      </c>
      <c r="K171" s="31">
        <v>0.0</v>
      </c>
      <c r="L171" s="1"/>
    </row>
    <row r="172">
      <c r="A172" s="23" t="s">
        <v>1121</v>
      </c>
      <c r="B172" s="17" t="s">
        <v>1966</v>
      </c>
      <c r="C172" s="25">
        <f>VLOOKUP(A172,'Hoja 2'!A:C,3,0)</f>
        <v>1</v>
      </c>
      <c r="D172" s="25" t="str">
        <f>VLOOKUP(A172,'Hoja 2'!A:D,4,0)</f>
        <v>Contrato 1</v>
      </c>
      <c r="E172" s="30">
        <v>0.0</v>
      </c>
      <c r="F172" s="31">
        <v>0.0</v>
      </c>
      <c r="G172" s="30">
        <v>0.0</v>
      </c>
      <c r="H172" s="38">
        <v>0.0</v>
      </c>
      <c r="I172" s="39">
        <v>0.0</v>
      </c>
      <c r="J172" s="30">
        <v>0.0</v>
      </c>
      <c r="K172" s="31">
        <v>0.0</v>
      </c>
      <c r="L172" s="1"/>
    </row>
    <row r="173">
      <c r="A173" s="23" t="s">
        <v>572</v>
      </c>
      <c r="B173" s="17" t="s">
        <v>1967</v>
      </c>
      <c r="C173" s="25">
        <f>VLOOKUP(A173,'Hoja 2'!A:C,3,0)</f>
        <v>1</v>
      </c>
      <c r="D173" s="25" t="str">
        <f>VLOOKUP(A173,'Hoja 2'!A:D,4,0)</f>
        <v>Contrato 1</v>
      </c>
      <c r="E173" s="30">
        <v>0.0</v>
      </c>
      <c r="F173" s="31">
        <v>0.0</v>
      </c>
      <c r="G173" s="30">
        <v>0.0</v>
      </c>
      <c r="H173" s="38">
        <v>0.0</v>
      </c>
      <c r="I173" s="39">
        <v>0.0</v>
      </c>
      <c r="J173" s="30">
        <v>0.0</v>
      </c>
      <c r="K173" s="31">
        <v>0.0</v>
      </c>
      <c r="L173" s="1"/>
    </row>
    <row r="174">
      <c r="A174" s="23" t="s">
        <v>912</v>
      </c>
      <c r="B174" s="17" t="s">
        <v>1968</v>
      </c>
      <c r="C174" s="25">
        <f>VLOOKUP(A174,'Hoja 2'!A:C,3,0)</f>
        <v>1</v>
      </c>
      <c r="D174" s="25" t="str">
        <f>VLOOKUP(A174,'Hoja 2'!A:D,4,0)</f>
        <v>Contrato 1</v>
      </c>
      <c r="E174" s="30">
        <v>0.0</v>
      </c>
      <c r="F174" s="31">
        <v>0.0</v>
      </c>
      <c r="G174" s="30">
        <v>0.0</v>
      </c>
      <c r="H174" s="38">
        <v>0.0</v>
      </c>
      <c r="I174" s="39">
        <v>0.0</v>
      </c>
      <c r="J174" s="30">
        <v>0.0</v>
      </c>
      <c r="K174" s="31">
        <v>0.0</v>
      </c>
      <c r="L174" s="1"/>
    </row>
    <row r="175">
      <c r="A175" s="23" t="s">
        <v>1030</v>
      </c>
      <c r="B175" s="17" t="s">
        <v>1969</v>
      </c>
      <c r="C175" s="25">
        <f>VLOOKUP(A175,'Hoja 2'!A:C,3,0)</f>
        <v>1</v>
      </c>
      <c r="D175" s="25" t="str">
        <f>VLOOKUP(A175,'Hoja 2'!A:D,4,0)</f>
        <v>Contrato 1</v>
      </c>
      <c r="E175" s="30">
        <v>0.0</v>
      </c>
      <c r="F175" s="31">
        <v>0.0</v>
      </c>
      <c r="G175" s="30">
        <v>0.0</v>
      </c>
      <c r="H175" s="38">
        <v>0.0</v>
      </c>
      <c r="I175" s="39">
        <v>0.0</v>
      </c>
      <c r="J175" s="30">
        <v>0.0</v>
      </c>
      <c r="K175" s="31">
        <v>0.0</v>
      </c>
      <c r="L175" s="1"/>
    </row>
    <row r="176">
      <c r="A176" s="23" t="s">
        <v>283</v>
      </c>
      <c r="B176" s="17" t="s">
        <v>1970</v>
      </c>
      <c r="C176" s="25">
        <f>VLOOKUP(A176,'Hoja 2'!A:C,3,0)</f>
        <v>1</v>
      </c>
      <c r="D176" s="25" t="str">
        <f>VLOOKUP(A176,'Hoja 2'!A:D,4,0)</f>
        <v>Contrato 1</v>
      </c>
      <c r="E176" s="30">
        <v>0.0</v>
      </c>
      <c r="F176" s="31">
        <v>0.0</v>
      </c>
      <c r="G176" s="30">
        <v>0.0</v>
      </c>
      <c r="H176" s="38">
        <v>0.0</v>
      </c>
      <c r="I176" s="39">
        <v>0.0</v>
      </c>
      <c r="J176" s="30">
        <v>0.0</v>
      </c>
      <c r="K176" s="31">
        <v>0.0</v>
      </c>
      <c r="L176" s="1"/>
    </row>
    <row r="177">
      <c r="A177" s="23" t="s">
        <v>1019</v>
      </c>
      <c r="B177" s="17" t="s">
        <v>1971</v>
      </c>
      <c r="C177" s="25">
        <f>VLOOKUP(A177,'Hoja 2'!A:C,3,0)</f>
        <v>1</v>
      </c>
      <c r="D177" s="25" t="str">
        <f>VLOOKUP(A177,'Hoja 2'!A:D,4,0)</f>
        <v>Contrato 1</v>
      </c>
      <c r="E177" s="30">
        <v>0.0</v>
      </c>
      <c r="F177" s="31">
        <v>0.0</v>
      </c>
      <c r="G177" s="30">
        <v>0.0</v>
      </c>
      <c r="H177" s="38">
        <v>0.0</v>
      </c>
      <c r="I177" s="39">
        <v>0.0</v>
      </c>
      <c r="J177" s="30">
        <v>0.0</v>
      </c>
      <c r="K177" s="31">
        <v>0.0</v>
      </c>
      <c r="L177" s="1"/>
    </row>
    <row r="178">
      <c r="A178" s="23" t="s">
        <v>794</v>
      </c>
      <c r="B178" s="17" t="s">
        <v>1972</v>
      </c>
      <c r="C178" s="25">
        <f>VLOOKUP(A178,'Hoja 2'!A:C,3,0)</f>
        <v>1</v>
      </c>
      <c r="D178" s="25" t="str">
        <f>VLOOKUP(A178,'Hoja 2'!A:D,4,0)</f>
        <v>Contrato 1</v>
      </c>
      <c r="E178" s="30">
        <v>0.0</v>
      </c>
      <c r="F178" s="31">
        <v>0.0</v>
      </c>
      <c r="G178" s="30">
        <v>0.0</v>
      </c>
      <c r="H178" s="38">
        <v>0.0</v>
      </c>
      <c r="I178" s="39">
        <v>0.0</v>
      </c>
      <c r="J178" s="30">
        <v>0.0</v>
      </c>
      <c r="K178" s="31">
        <v>0.0</v>
      </c>
      <c r="L178" s="1"/>
    </row>
    <row r="179">
      <c r="A179" s="23" t="s">
        <v>1309</v>
      </c>
      <c r="B179" s="17" t="s">
        <v>1973</v>
      </c>
      <c r="C179" s="25">
        <f>VLOOKUP(A179,'Hoja 2'!A:C,3,0)</f>
        <v>1</v>
      </c>
      <c r="D179" s="25" t="str">
        <f>VLOOKUP(A179,'Hoja 2'!A:D,4,0)</f>
        <v>Contrato 1</v>
      </c>
      <c r="E179" s="30">
        <v>0.0</v>
      </c>
      <c r="F179" s="31">
        <v>0.0</v>
      </c>
      <c r="G179" s="30">
        <v>0.0</v>
      </c>
      <c r="H179" s="38">
        <v>0.0</v>
      </c>
      <c r="I179" s="39">
        <v>0.0</v>
      </c>
      <c r="J179" s="30">
        <v>0.0</v>
      </c>
      <c r="K179" s="31">
        <v>0.0</v>
      </c>
      <c r="L179" s="1"/>
    </row>
    <row r="180">
      <c r="A180" s="23" t="s">
        <v>1250</v>
      </c>
      <c r="B180" s="17" t="s">
        <v>1974</v>
      </c>
      <c r="C180" s="25">
        <f>VLOOKUP(A180,'Hoja 2'!A:C,3,0)</f>
        <v>1</v>
      </c>
      <c r="D180" s="25" t="str">
        <f>VLOOKUP(A180,'Hoja 2'!A:D,4,0)</f>
        <v>Contrato 1</v>
      </c>
      <c r="E180" s="30">
        <v>0.0</v>
      </c>
      <c r="F180" s="31">
        <v>0.0</v>
      </c>
      <c r="G180" s="30">
        <v>0.0</v>
      </c>
      <c r="H180" s="38">
        <v>0.0</v>
      </c>
      <c r="I180" s="39">
        <v>0.0</v>
      </c>
      <c r="J180" s="30">
        <v>0.0</v>
      </c>
      <c r="K180" s="31">
        <v>0.0</v>
      </c>
      <c r="L180" s="1"/>
    </row>
    <row r="181">
      <c r="A181" s="23" t="s">
        <v>1317</v>
      </c>
      <c r="B181" s="17" t="s">
        <v>1975</v>
      </c>
      <c r="C181" s="25">
        <f>VLOOKUP(A181,'Hoja 2'!A:C,3,0)</f>
        <v>1</v>
      </c>
      <c r="D181" s="25" t="str">
        <f>VLOOKUP(A181,'Hoja 2'!A:D,4,0)</f>
        <v>Contrato 1</v>
      </c>
      <c r="E181" s="30">
        <v>0.0</v>
      </c>
      <c r="F181" s="31">
        <v>0.0</v>
      </c>
      <c r="G181" s="30">
        <v>0.0</v>
      </c>
      <c r="H181" s="38">
        <v>0.0</v>
      </c>
      <c r="I181" s="39">
        <v>0.0</v>
      </c>
      <c r="J181" s="30">
        <v>0.0</v>
      </c>
      <c r="K181" s="31">
        <v>0.0</v>
      </c>
      <c r="L181" s="40"/>
    </row>
    <row r="182">
      <c r="A182" s="23" t="s">
        <v>80</v>
      </c>
      <c r="B182" s="17" t="s">
        <v>1976</v>
      </c>
      <c r="C182" s="25">
        <f>VLOOKUP(A182,'Hoja 2'!A:C,3,0)</f>
        <v>1</v>
      </c>
      <c r="D182" s="25" t="str">
        <f>VLOOKUP(A182,'Hoja 2'!A:D,4,0)</f>
        <v>Contrato 1</v>
      </c>
      <c r="E182" s="30">
        <v>0.0</v>
      </c>
      <c r="F182" s="31">
        <v>0.0</v>
      </c>
      <c r="G182" s="30">
        <v>0.0</v>
      </c>
      <c r="H182" s="38">
        <v>0.0</v>
      </c>
      <c r="I182" s="39">
        <v>0.0</v>
      </c>
      <c r="J182" s="30">
        <v>0.0</v>
      </c>
      <c r="K182" s="31">
        <v>0.0</v>
      </c>
      <c r="L182" s="1"/>
    </row>
    <row r="183">
      <c r="A183" s="23" t="s">
        <v>996</v>
      </c>
      <c r="B183" s="17" t="s">
        <v>997</v>
      </c>
      <c r="C183" s="25">
        <f>VLOOKUP(A183,'Hoja 2'!A:C,3,0)</f>
        <v>1</v>
      </c>
      <c r="D183" s="25" t="str">
        <f>VLOOKUP(A183,'Hoja 2'!A:D,4,0)</f>
        <v>Contrato 1</v>
      </c>
      <c r="E183" s="30">
        <v>0.0</v>
      </c>
      <c r="F183" s="31">
        <v>0.0</v>
      </c>
      <c r="G183" s="30">
        <v>0.0</v>
      </c>
      <c r="H183" s="38">
        <v>0.0</v>
      </c>
      <c r="I183" s="39">
        <v>0.0</v>
      </c>
      <c r="J183" s="30">
        <v>0.0</v>
      </c>
      <c r="K183" s="31">
        <v>0.0</v>
      </c>
      <c r="L183" s="1"/>
    </row>
    <row r="184">
      <c r="A184" s="23" t="s">
        <v>240</v>
      </c>
      <c r="B184" s="17" t="s">
        <v>1977</v>
      </c>
      <c r="C184" s="25">
        <f>VLOOKUP(A184,'Hoja 2'!A:C,3,0)</f>
        <v>1</v>
      </c>
      <c r="D184" s="25" t="str">
        <f>VLOOKUP(A184,'Hoja 2'!A:D,4,0)</f>
        <v>Contrato 1</v>
      </c>
      <c r="E184" s="30">
        <v>0.0</v>
      </c>
      <c r="F184" s="31">
        <v>0.0</v>
      </c>
      <c r="G184" s="30">
        <v>0.0</v>
      </c>
      <c r="H184" s="38">
        <v>0.0</v>
      </c>
      <c r="I184" s="39">
        <v>0.0</v>
      </c>
      <c r="J184" s="30">
        <v>0.0</v>
      </c>
      <c r="K184" s="31">
        <v>0.0</v>
      </c>
      <c r="L184" s="1"/>
    </row>
    <row r="185">
      <c r="A185" s="23" t="s">
        <v>55</v>
      </c>
      <c r="B185" s="17" t="s">
        <v>52</v>
      </c>
      <c r="C185" s="25">
        <f>VLOOKUP(A185,'Hoja 2'!A:C,3,0)</f>
        <v>1</v>
      </c>
      <c r="D185" s="25" t="str">
        <f>VLOOKUP(A185,'Hoja 2'!A:D,4,0)</f>
        <v>Contrato Manipuladora</v>
      </c>
      <c r="E185" s="30">
        <v>0.0</v>
      </c>
      <c r="F185" s="31">
        <v>0.0</v>
      </c>
      <c r="G185" s="30">
        <v>0.0</v>
      </c>
      <c r="H185" s="38">
        <v>0.0</v>
      </c>
      <c r="I185" s="39">
        <v>0.0</v>
      </c>
      <c r="J185" s="30">
        <v>0.0</v>
      </c>
      <c r="K185" s="31">
        <v>0.0</v>
      </c>
      <c r="L185" s="1"/>
    </row>
    <row r="186">
      <c r="A186" s="23" t="s">
        <v>1061</v>
      </c>
      <c r="B186" s="17" t="s">
        <v>1978</v>
      </c>
      <c r="C186" s="25">
        <f>VLOOKUP(A186,'Hoja 2'!A:C,3,0)</f>
        <v>1</v>
      </c>
      <c r="D186" s="25" t="str">
        <f>VLOOKUP(A186,'Hoja 2'!A:D,4,0)</f>
        <v>Contrato 1</v>
      </c>
      <c r="E186" s="30">
        <v>0.0</v>
      </c>
      <c r="F186" s="31">
        <v>0.0</v>
      </c>
      <c r="G186" s="30">
        <v>0.0</v>
      </c>
      <c r="H186" s="38">
        <v>0.0</v>
      </c>
      <c r="I186" s="39">
        <v>0.0</v>
      </c>
      <c r="J186" s="30">
        <v>0.0</v>
      </c>
      <c r="K186" s="31">
        <v>0.0</v>
      </c>
      <c r="L186" s="1"/>
    </row>
    <row r="187">
      <c r="A187" s="23" t="s">
        <v>347</v>
      </c>
      <c r="B187" s="17" t="s">
        <v>1979</v>
      </c>
      <c r="C187" s="25">
        <f>VLOOKUP(A187,'Hoja 2'!A:C,3,0)</f>
        <v>1</v>
      </c>
      <c r="D187" s="25" t="str">
        <f>VLOOKUP(A187,'Hoja 2'!A:D,4,0)</f>
        <v>Contrato 1</v>
      </c>
      <c r="E187" s="30">
        <v>0.0</v>
      </c>
      <c r="F187" s="31">
        <v>0.0</v>
      </c>
      <c r="G187" s="30">
        <v>0.0</v>
      </c>
      <c r="H187" s="38">
        <v>0.0</v>
      </c>
      <c r="I187" s="39">
        <v>0.0</v>
      </c>
      <c r="J187" s="30">
        <v>0.0</v>
      </c>
      <c r="K187" s="31">
        <v>0.0</v>
      </c>
      <c r="L187" s="1"/>
    </row>
    <row r="188">
      <c r="A188" s="23" t="s">
        <v>570</v>
      </c>
      <c r="B188" s="17" t="s">
        <v>1980</v>
      </c>
      <c r="C188" s="25">
        <f>VLOOKUP(A188,'Hoja 2'!A:C,3,0)</f>
        <v>1</v>
      </c>
      <c r="D188" s="25" t="str">
        <f>VLOOKUP(A188,'Hoja 2'!A:D,4,0)</f>
        <v>Contrato 1</v>
      </c>
      <c r="E188" s="30">
        <v>0.0</v>
      </c>
      <c r="F188" s="31">
        <v>0.0</v>
      </c>
      <c r="G188" s="30">
        <v>0.0</v>
      </c>
      <c r="H188" s="38">
        <v>0.0</v>
      </c>
      <c r="I188" s="39">
        <v>0.0</v>
      </c>
      <c r="J188" s="30">
        <v>0.0</v>
      </c>
      <c r="K188" s="31">
        <v>0.0</v>
      </c>
      <c r="L188" s="1"/>
    </row>
    <row r="189">
      <c r="A189" s="23" t="s">
        <v>965</v>
      </c>
      <c r="B189" s="17" t="s">
        <v>1981</v>
      </c>
      <c r="C189" s="25">
        <f>VLOOKUP(A189,'Hoja 2'!A:C,3,0)</f>
        <v>1</v>
      </c>
      <c r="D189" s="25" t="str">
        <f>VLOOKUP(A189,'Hoja 2'!A:D,4,0)</f>
        <v>Contrato 1</v>
      </c>
      <c r="E189" s="30">
        <v>0.0</v>
      </c>
      <c r="F189" s="31">
        <v>0.0</v>
      </c>
      <c r="G189" s="30">
        <v>0.0</v>
      </c>
      <c r="H189" s="38">
        <v>0.0</v>
      </c>
      <c r="I189" s="39">
        <v>0.0</v>
      </c>
      <c r="J189" s="30">
        <v>0.0</v>
      </c>
      <c r="K189" s="31">
        <v>0.0</v>
      </c>
      <c r="L189" s="1"/>
    </row>
    <row r="190">
      <c r="A190" s="23" t="s">
        <v>1021</v>
      </c>
      <c r="B190" s="17" t="s">
        <v>1982</v>
      </c>
      <c r="C190" s="25">
        <f>VLOOKUP(A190,'Hoja 2'!A:C,3,0)</f>
        <v>1</v>
      </c>
      <c r="D190" s="25" t="str">
        <f>VLOOKUP(A190,'Hoja 2'!A:D,4,0)</f>
        <v>Contrato 1</v>
      </c>
      <c r="E190" s="30">
        <v>0.0</v>
      </c>
      <c r="F190" s="31">
        <v>0.0</v>
      </c>
      <c r="G190" s="30">
        <v>0.0</v>
      </c>
      <c r="H190" s="38">
        <v>0.0</v>
      </c>
      <c r="I190" s="39">
        <v>0.0</v>
      </c>
      <c r="J190" s="30">
        <v>0.0</v>
      </c>
      <c r="K190" s="31">
        <v>0.0</v>
      </c>
      <c r="L190" s="1"/>
    </row>
    <row r="191">
      <c r="A191" s="23" t="s">
        <v>721</v>
      </c>
      <c r="B191" s="17" t="s">
        <v>1983</v>
      </c>
      <c r="C191" s="25">
        <f>VLOOKUP(A191,'Hoja 2'!A:C,3,0)</f>
        <v>1</v>
      </c>
      <c r="D191" s="25" t="str">
        <f>VLOOKUP(A191,'Hoja 2'!A:D,4,0)</f>
        <v>Contrato 1</v>
      </c>
      <c r="E191" s="30">
        <v>0.0</v>
      </c>
      <c r="F191" s="31">
        <v>0.0</v>
      </c>
      <c r="G191" s="30">
        <v>0.0</v>
      </c>
      <c r="H191" s="38">
        <v>0.0</v>
      </c>
      <c r="I191" s="39">
        <v>0.0</v>
      </c>
      <c r="J191" s="30">
        <v>0.0</v>
      </c>
      <c r="K191" s="31">
        <v>0.0</v>
      </c>
      <c r="L191" s="1"/>
    </row>
    <row r="192">
      <c r="A192" s="23" t="s">
        <v>189</v>
      </c>
      <c r="B192" s="17" t="s">
        <v>1984</v>
      </c>
      <c r="C192" s="25">
        <f>VLOOKUP(A192,'Hoja 2'!A:C,3,0)</f>
        <v>1</v>
      </c>
      <c r="D192" s="25" t="str">
        <f>VLOOKUP(A192,'Hoja 2'!A:D,4,0)</f>
        <v>Contrato 1</v>
      </c>
      <c r="E192" s="30">
        <v>0.0</v>
      </c>
      <c r="F192" s="31">
        <v>0.0</v>
      </c>
      <c r="G192" s="30">
        <v>0.0</v>
      </c>
      <c r="H192" s="38">
        <v>0.0</v>
      </c>
      <c r="I192" s="39">
        <v>0.0</v>
      </c>
      <c r="J192" s="30">
        <v>0.0</v>
      </c>
      <c r="K192" s="31">
        <v>0.0</v>
      </c>
      <c r="L192" s="1"/>
    </row>
    <row r="193">
      <c r="A193" s="23" t="s">
        <v>1883</v>
      </c>
      <c r="B193" s="17" t="s">
        <v>1985</v>
      </c>
      <c r="C193" s="25">
        <f>VLOOKUP(A193,'Hoja 2'!A:C,3,0)</f>
        <v>1</v>
      </c>
      <c r="D193" s="25" t="str">
        <f>VLOOKUP(A193,'Hoja 2'!A:D,4,0)</f>
        <v>Contrato 1</v>
      </c>
      <c r="E193" s="30">
        <v>0.0</v>
      </c>
      <c r="F193" s="31">
        <v>0.0</v>
      </c>
      <c r="G193" s="30">
        <v>0.0</v>
      </c>
      <c r="H193" s="38">
        <v>0.0</v>
      </c>
      <c r="I193" s="39">
        <v>0.0</v>
      </c>
      <c r="J193" s="30">
        <v>0.0</v>
      </c>
      <c r="K193" s="31">
        <v>0.0</v>
      </c>
      <c r="L193" s="1"/>
    </row>
    <row r="194">
      <c r="A194" s="23" t="s">
        <v>746</v>
      </c>
      <c r="B194" s="17" t="s">
        <v>1986</v>
      </c>
      <c r="C194" s="25">
        <f>VLOOKUP(A194,'Hoja 2'!A:C,3,0)</f>
        <v>1</v>
      </c>
      <c r="D194" s="25" t="str">
        <f>VLOOKUP(A194,'Hoja 2'!A:D,4,0)</f>
        <v>Contrato 1</v>
      </c>
      <c r="E194" s="30">
        <v>0.0</v>
      </c>
      <c r="F194" s="31">
        <v>0.0</v>
      </c>
      <c r="G194" s="30">
        <v>0.0</v>
      </c>
      <c r="H194" s="38">
        <v>0.0</v>
      </c>
      <c r="I194" s="39">
        <v>0.0</v>
      </c>
      <c r="J194" s="30">
        <v>0.0</v>
      </c>
      <c r="K194" s="31">
        <v>0.0</v>
      </c>
      <c r="L194" s="1"/>
    </row>
    <row r="195">
      <c r="A195" s="23" t="s">
        <v>840</v>
      </c>
      <c r="B195" s="17" t="s">
        <v>1987</v>
      </c>
      <c r="C195" s="25">
        <f>VLOOKUP(A195,'Hoja 2'!A:C,3,0)</f>
        <v>1</v>
      </c>
      <c r="D195" s="25" t="str">
        <f>VLOOKUP(A195,'Hoja 2'!A:D,4,0)</f>
        <v>Contrato Manipuladora</v>
      </c>
      <c r="E195" s="30">
        <v>0.0</v>
      </c>
      <c r="F195" s="31">
        <v>0.0</v>
      </c>
      <c r="G195" s="30">
        <v>0.0</v>
      </c>
      <c r="H195" s="38">
        <v>0.0</v>
      </c>
      <c r="I195" s="39">
        <v>0.0</v>
      </c>
      <c r="J195" s="30">
        <v>36250.0</v>
      </c>
      <c r="K195" s="31">
        <v>0.0</v>
      </c>
      <c r="L195" s="1"/>
    </row>
    <row r="196">
      <c r="A196" s="23" t="s">
        <v>1989</v>
      </c>
      <c r="B196" s="17" t="s">
        <v>1988</v>
      </c>
      <c r="C196" s="25">
        <f>VLOOKUP(A196,'Hoja 2'!A:C,3,0)</f>
        <v>1</v>
      </c>
      <c r="D196" s="25" t="str">
        <f>VLOOKUP(A196,'Hoja 2'!A:D,4,0)</f>
        <v>Contrato 1</v>
      </c>
      <c r="E196" s="30">
        <v>0.0</v>
      </c>
      <c r="F196" s="31">
        <v>0.0</v>
      </c>
      <c r="G196" s="39">
        <v>87733.0</v>
      </c>
      <c r="H196" s="39">
        <v>0.0</v>
      </c>
      <c r="I196" s="39">
        <v>0.0</v>
      </c>
      <c r="J196" s="39">
        <v>0.0</v>
      </c>
      <c r="K196" s="31">
        <v>0.0</v>
      </c>
      <c r="L196" s="1"/>
    </row>
    <row r="197">
      <c r="A197" s="23" t="s">
        <v>1151</v>
      </c>
      <c r="B197" s="17" t="s">
        <v>1990</v>
      </c>
      <c r="C197" s="25">
        <f>VLOOKUP(A197,'Hoja 2'!A:C,3,0)</f>
        <v>1</v>
      </c>
      <c r="D197" s="25" t="str">
        <f>VLOOKUP(A197,'Hoja 2'!A:D,4,0)</f>
        <v>Contrato 1</v>
      </c>
      <c r="E197" s="30">
        <v>0.0</v>
      </c>
      <c r="F197" s="31">
        <v>0.0</v>
      </c>
      <c r="G197" s="39">
        <v>0.0</v>
      </c>
      <c r="H197" s="39">
        <v>0.0</v>
      </c>
      <c r="I197" s="39">
        <v>0.0</v>
      </c>
      <c r="J197" s="39">
        <v>0.0</v>
      </c>
      <c r="K197" s="31">
        <v>0.0</v>
      </c>
      <c r="L197" s="1"/>
    </row>
    <row r="198">
      <c r="A198" s="23" t="s">
        <v>1105</v>
      </c>
      <c r="B198" s="17" t="s">
        <v>1991</v>
      </c>
      <c r="C198" s="25">
        <f>VLOOKUP(A198,'Hoja 2'!A:C,3,0)</f>
        <v>1</v>
      </c>
      <c r="D198" s="25" t="str">
        <f>VLOOKUP(A198,'Hoja 2'!A:D,4,0)</f>
        <v>Contrato 1</v>
      </c>
      <c r="E198" s="30">
        <v>0.0</v>
      </c>
      <c r="F198" s="31">
        <v>0.0</v>
      </c>
      <c r="G198" s="39">
        <v>0.0</v>
      </c>
      <c r="H198" s="39">
        <v>0.0</v>
      </c>
      <c r="I198" s="39">
        <v>0.0</v>
      </c>
      <c r="J198" s="39">
        <v>0.0</v>
      </c>
      <c r="K198" s="31">
        <v>0.0</v>
      </c>
      <c r="L198" s="1"/>
    </row>
    <row r="199">
      <c r="A199" s="23" t="s">
        <v>1139</v>
      </c>
      <c r="B199" s="17" t="s">
        <v>1992</v>
      </c>
      <c r="C199" s="25">
        <f>VLOOKUP(A199,'Hoja 2'!A:C,3,0)</f>
        <v>1</v>
      </c>
      <c r="D199" s="25" t="str">
        <f>VLOOKUP(A199,'Hoja 2'!A:D,4,0)</f>
        <v>Contrato 1</v>
      </c>
      <c r="E199" s="30">
        <v>0.0</v>
      </c>
      <c r="F199" s="31">
        <v>0.0</v>
      </c>
      <c r="G199" s="39">
        <v>0.0</v>
      </c>
      <c r="H199" s="39">
        <v>0.0</v>
      </c>
      <c r="I199" s="39">
        <v>0.0</v>
      </c>
      <c r="J199" s="39">
        <v>0.0</v>
      </c>
      <c r="K199" s="31">
        <v>0.0</v>
      </c>
      <c r="L199" s="1"/>
    </row>
    <row r="200">
      <c r="A200" s="23" t="s">
        <v>234</v>
      </c>
      <c r="B200" s="17" t="s">
        <v>1993</v>
      </c>
      <c r="C200" s="25">
        <f>VLOOKUP(A200,'Hoja 2'!A:C,3,0)</f>
        <v>1</v>
      </c>
      <c r="D200" s="25" t="str">
        <f>VLOOKUP(A200,'Hoja 2'!A:D,4,0)</f>
        <v>Contrato 1</v>
      </c>
      <c r="E200" s="30">
        <v>0.0</v>
      </c>
      <c r="F200" s="31">
        <v>0.0</v>
      </c>
      <c r="G200" s="39">
        <v>0.0</v>
      </c>
      <c r="H200" s="39">
        <v>0.0</v>
      </c>
      <c r="I200" s="39">
        <v>0.0</v>
      </c>
      <c r="J200" s="39">
        <v>0.0</v>
      </c>
      <c r="K200" s="31">
        <v>0.0</v>
      </c>
      <c r="L200" s="1"/>
    </row>
    <row r="201">
      <c r="A201" s="23" t="s">
        <v>1751</v>
      </c>
      <c r="B201" s="17" t="s">
        <v>1994</v>
      </c>
      <c r="C201" s="25">
        <f>VLOOKUP(A201,'Hoja 2'!A:C,3,0)</f>
        <v>1</v>
      </c>
      <c r="D201" s="25" t="str">
        <f>VLOOKUP(A201,'Hoja 2'!A:D,4,0)</f>
        <v>Contrato 1</v>
      </c>
      <c r="E201" s="30">
        <v>0.0</v>
      </c>
      <c r="F201" s="31">
        <v>0.0</v>
      </c>
      <c r="G201" s="39">
        <v>0.0</v>
      </c>
      <c r="H201" s="39">
        <v>0.0</v>
      </c>
      <c r="I201" s="39">
        <v>0.0</v>
      </c>
      <c r="J201" s="39">
        <v>0.0</v>
      </c>
      <c r="K201" s="31">
        <v>0.0</v>
      </c>
      <c r="L201" s="1"/>
    </row>
    <row r="202">
      <c r="A202" s="23" t="s">
        <v>479</v>
      </c>
      <c r="B202" s="17" t="s">
        <v>1995</v>
      </c>
      <c r="C202" s="25">
        <f>VLOOKUP(A202,'Hoja 2'!A:C,3,0)</f>
        <v>1</v>
      </c>
      <c r="D202" s="25" t="str">
        <f>VLOOKUP(A202,'Hoja 2'!A:D,4,0)</f>
        <v>Contrato 1</v>
      </c>
      <c r="E202" s="30">
        <v>0.0</v>
      </c>
      <c r="F202" s="31">
        <v>0.0</v>
      </c>
      <c r="G202" s="39">
        <v>0.0</v>
      </c>
      <c r="H202" s="39">
        <v>0.0</v>
      </c>
      <c r="I202" s="39">
        <v>0.0</v>
      </c>
      <c r="J202" s="39">
        <v>0.0</v>
      </c>
      <c r="K202" s="31">
        <v>0.0</v>
      </c>
      <c r="L202" s="1"/>
    </row>
    <row r="203">
      <c r="A203" s="23" t="s">
        <v>119</v>
      </c>
      <c r="B203" s="17" t="s">
        <v>1996</v>
      </c>
      <c r="C203" s="25">
        <f>VLOOKUP(A203,'Hoja 2'!A:C,3,0)</f>
        <v>1</v>
      </c>
      <c r="D203" s="25" t="str">
        <f>VLOOKUP(A203,'Hoja 2'!A:D,4,0)</f>
        <v>Contrato 1</v>
      </c>
      <c r="E203" s="30">
        <v>0.0</v>
      </c>
      <c r="F203" s="31">
        <v>0.0</v>
      </c>
      <c r="G203" s="39">
        <v>0.0</v>
      </c>
      <c r="H203" s="39">
        <v>0.0</v>
      </c>
      <c r="I203" s="39">
        <v>0.0</v>
      </c>
      <c r="J203" s="39">
        <v>0.0</v>
      </c>
      <c r="K203" s="31">
        <v>0.0</v>
      </c>
      <c r="L203" s="1"/>
    </row>
    <row r="204">
      <c r="A204" s="23" t="s">
        <v>1186</v>
      </c>
      <c r="B204" s="17" t="s">
        <v>1997</v>
      </c>
      <c r="C204" s="25">
        <f>VLOOKUP(A204,'Hoja 2'!A:C,3,0)</f>
        <v>1</v>
      </c>
      <c r="D204" s="25" t="str">
        <f>VLOOKUP(A204,'Hoja 2'!A:D,4,0)</f>
        <v>Contrato 1</v>
      </c>
      <c r="E204" s="30">
        <v>0.0</v>
      </c>
      <c r="F204" s="31">
        <v>0.0</v>
      </c>
      <c r="G204" s="30">
        <v>0.0</v>
      </c>
      <c r="H204" s="38">
        <v>0.0</v>
      </c>
      <c r="I204" s="39">
        <v>0.0</v>
      </c>
      <c r="J204" s="30">
        <v>0.0</v>
      </c>
      <c r="K204" s="31">
        <v>0.0</v>
      </c>
      <c r="L204" s="1"/>
    </row>
    <row r="205">
      <c r="A205" s="23" t="s">
        <v>1810</v>
      </c>
      <c r="B205" s="17" t="s">
        <v>1998</v>
      </c>
      <c r="C205" s="25">
        <f>VLOOKUP(A205,'Hoja 2'!A:C,3,0)</f>
        <v>1</v>
      </c>
      <c r="D205" s="25" t="str">
        <f>VLOOKUP(A205,'Hoja 2'!A:D,4,0)</f>
        <v>Contrato 1</v>
      </c>
      <c r="E205" s="30">
        <v>0.0</v>
      </c>
      <c r="F205" s="31">
        <v>0.0</v>
      </c>
      <c r="G205" s="30">
        <v>0.0</v>
      </c>
      <c r="H205" s="38">
        <v>0.0</v>
      </c>
      <c r="I205" s="39">
        <v>0.0</v>
      </c>
      <c r="J205" s="30">
        <v>0.0</v>
      </c>
      <c r="K205" s="31">
        <v>0.0</v>
      </c>
      <c r="L205" s="1"/>
    </row>
    <row r="206">
      <c r="A206" s="23" t="s">
        <v>1342</v>
      </c>
      <c r="B206" s="17" t="s">
        <v>1999</v>
      </c>
      <c r="C206" s="25">
        <f>VLOOKUP(A206,'Hoja 2'!A:C,3,0)</f>
        <v>1</v>
      </c>
      <c r="D206" s="25" t="str">
        <f>VLOOKUP(A206,'Hoja 2'!A:D,4,0)</f>
        <v>Contrato 1</v>
      </c>
      <c r="E206" s="30">
        <v>0.0</v>
      </c>
      <c r="F206" s="31">
        <v>0.0</v>
      </c>
      <c r="G206" s="30">
        <v>0.0</v>
      </c>
      <c r="H206" s="38">
        <v>0.0</v>
      </c>
      <c r="I206" s="39">
        <v>0.0</v>
      </c>
      <c r="J206" s="30">
        <v>0.0</v>
      </c>
      <c r="K206" s="31">
        <v>0.0</v>
      </c>
      <c r="L206" s="1"/>
    </row>
    <row r="207">
      <c r="A207" s="23" t="s">
        <v>1218</v>
      </c>
      <c r="B207" s="17" t="s">
        <v>2000</v>
      </c>
      <c r="C207" s="25">
        <f>VLOOKUP(A207,'Hoja 2'!A:C,3,0)</f>
        <v>1</v>
      </c>
      <c r="D207" s="25" t="str">
        <f>VLOOKUP(A207,'Hoja 2'!A:D,4,0)</f>
        <v>Contrato 1</v>
      </c>
      <c r="E207" s="30">
        <v>0.0</v>
      </c>
      <c r="F207" s="31">
        <v>0.0</v>
      </c>
      <c r="G207" s="30">
        <v>0.0</v>
      </c>
      <c r="H207" s="38">
        <v>0.0</v>
      </c>
      <c r="I207" s="39">
        <v>0.0</v>
      </c>
      <c r="J207" s="30">
        <v>0.0</v>
      </c>
      <c r="K207" s="31">
        <v>0.0</v>
      </c>
      <c r="L207" s="1"/>
    </row>
    <row r="208">
      <c r="A208" s="23" t="s">
        <v>671</v>
      </c>
      <c r="B208" s="17" t="s">
        <v>2001</v>
      </c>
      <c r="C208" s="25">
        <f>VLOOKUP(A208,'Hoja 2'!A:C,3,0)</f>
        <v>1</v>
      </c>
      <c r="D208" s="25" t="str">
        <f>VLOOKUP(A208,'Hoja 2'!A:D,4,0)</f>
        <v>Contrato 1</v>
      </c>
      <c r="E208" s="30">
        <v>0.0</v>
      </c>
      <c r="F208" s="31">
        <v>0.0</v>
      </c>
      <c r="G208" s="30">
        <v>0.0</v>
      </c>
      <c r="H208" s="38">
        <v>0.0</v>
      </c>
      <c r="I208" s="39">
        <v>0.0</v>
      </c>
      <c r="J208" s="30">
        <v>0.0</v>
      </c>
      <c r="K208" s="31">
        <v>0.0</v>
      </c>
      <c r="L208" s="1"/>
    </row>
    <row r="209">
      <c r="A209" s="23" t="s">
        <v>1584</v>
      </c>
      <c r="B209" s="17" t="s">
        <v>2002</v>
      </c>
      <c r="C209" s="25">
        <f>VLOOKUP(A209,'Hoja 2'!A:C,3,0)</f>
        <v>1</v>
      </c>
      <c r="D209" s="25" t="str">
        <f>VLOOKUP(A209,'Hoja 2'!A:D,4,0)</f>
        <v>Contrato Manipuladora</v>
      </c>
      <c r="E209" s="30">
        <v>0.0</v>
      </c>
      <c r="F209" s="31">
        <v>0.0</v>
      </c>
      <c r="G209" s="30">
        <v>0.0</v>
      </c>
      <c r="H209" s="38">
        <v>0.0</v>
      </c>
      <c r="I209" s="39">
        <v>0.0</v>
      </c>
      <c r="J209" s="30">
        <v>0.0</v>
      </c>
      <c r="K209" s="31">
        <v>0.0</v>
      </c>
      <c r="L209" s="1"/>
    </row>
    <row r="210">
      <c r="A210" s="23" t="s">
        <v>1091</v>
      </c>
      <c r="B210" s="17" t="s">
        <v>2003</v>
      </c>
      <c r="C210" s="25">
        <f>VLOOKUP(A210,'Hoja 2'!A:C,3,0)</f>
        <v>1</v>
      </c>
      <c r="D210" s="25" t="str">
        <f>VLOOKUP(A210,'Hoja 2'!A:D,4,0)</f>
        <v>Contrato 1</v>
      </c>
      <c r="E210" s="30">
        <v>0.0</v>
      </c>
      <c r="F210" s="31">
        <v>0.0</v>
      </c>
      <c r="G210" s="30">
        <v>0.0</v>
      </c>
      <c r="H210" s="38">
        <v>0.0</v>
      </c>
      <c r="I210" s="39">
        <v>0.0</v>
      </c>
      <c r="J210" s="30">
        <v>0.0</v>
      </c>
      <c r="K210" s="31">
        <v>0.0</v>
      </c>
      <c r="L210" s="1"/>
    </row>
    <row r="211">
      <c r="A211" s="23" t="s">
        <v>806</v>
      </c>
      <c r="B211" s="17" t="s">
        <v>2004</v>
      </c>
      <c r="C211" s="25">
        <f>VLOOKUP(A211,'Hoja 2'!A:C,3,0)</f>
        <v>1</v>
      </c>
      <c r="D211" s="25" t="str">
        <f>VLOOKUP(A211,'Hoja 2'!A:D,4,0)</f>
        <v>Contrato 1</v>
      </c>
      <c r="E211" s="30">
        <v>0.0</v>
      </c>
      <c r="F211" s="31">
        <v>0.0</v>
      </c>
      <c r="G211" s="30">
        <v>0.0</v>
      </c>
      <c r="H211" s="38">
        <v>0.0</v>
      </c>
      <c r="I211" s="39">
        <v>0.0</v>
      </c>
      <c r="J211" s="30">
        <v>0.0</v>
      </c>
      <c r="K211" s="31">
        <v>0.0</v>
      </c>
      <c r="L211" s="1"/>
    </row>
    <row r="212">
      <c r="A212" s="23" t="s">
        <v>1311</v>
      </c>
      <c r="B212" s="17" t="s">
        <v>2005</v>
      </c>
      <c r="C212" s="25">
        <f>VLOOKUP(A212,'Hoja 2'!A:C,3,0)</f>
        <v>1</v>
      </c>
      <c r="D212" s="25" t="str">
        <f>VLOOKUP(A212,'Hoja 2'!A:D,4,0)</f>
        <v>Contrato 1</v>
      </c>
      <c r="E212" s="30">
        <v>0.0</v>
      </c>
      <c r="F212" s="31">
        <v>0.0</v>
      </c>
      <c r="G212" s="30">
        <v>0.0</v>
      </c>
      <c r="H212" s="38">
        <v>0.0</v>
      </c>
      <c r="I212" s="39">
        <v>0.0</v>
      </c>
      <c r="J212" s="30">
        <v>0.0</v>
      </c>
      <c r="K212" s="31">
        <v>0.0</v>
      </c>
      <c r="L212" s="1"/>
    </row>
    <row r="213">
      <c r="A213" s="23" t="s">
        <v>1922</v>
      </c>
      <c r="B213" s="17" t="s">
        <v>2006</v>
      </c>
      <c r="C213" s="25">
        <f>VLOOKUP(A213,'Hoja 2'!A:C,3,0)</f>
        <v>1</v>
      </c>
      <c r="D213" s="25" t="str">
        <f>VLOOKUP(A213,'Hoja 2'!A:D,4,0)</f>
        <v>Contrato 1</v>
      </c>
      <c r="E213" s="30">
        <v>0.0</v>
      </c>
      <c r="F213" s="31">
        <v>0.0</v>
      </c>
      <c r="G213" s="30">
        <v>0.0</v>
      </c>
      <c r="H213" s="38">
        <v>0.0</v>
      </c>
      <c r="I213" s="39">
        <v>0.0</v>
      </c>
      <c r="J213" s="30">
        <v>0.0</v>
      </c>
      <c r="K213" s="31">
        <v>0.0</v>
      </c>
      <c r="L213" s="1"/>
    </row>
    <row r="214">
      <c r="A214" s="23" t="s">
        <v>255</v>
      </c>
      <c r="B214" s="17" t="s">
        <v>2007</v>
      </c>
      <c r="C214" s="25">
        <f>VLOOKUP(A214,'Hoja 2'!A:C,3,0)</f>
        <v>1</v>
      </c>
      <c r="D214" s="25" t="str">
        <f>VLOOKUP(A214,'Hoja 2'!A:D,4,0)</f>
        <v>Contrato 1</v>
      </c>
      <c r="E214" s="30">
        <v>0.0</v>
      </c>
      <c r="F214" s="31">
        <v>0.0</v>
      </c>
      <c r="G214" s="30">
        <v>0.0</v>
      </c>
      <c r="H214" s="38">
        <v>0.0</v>
      </c>
      <c r="I214" s="39">
        <v>0.0</v>
      </c>
      <c r="J214" s="30">
        <v>0.0</v>
      </c>
      <c r="K214" s="31">
        <v>0.0</v>
      </c>
      <c r="L214" s="1"/>
    </row>
    <row r="215">
      <c r="A215" s="23" t="s">
        <v>1434</v>
      </c>
      <c r="B215" s="17" t="s">
        <v>2008</v>
      </c>
      <c r="C215" s="25">
        <f>VLOOKUP(A215,'Hoja 2'!A:C,3,0)</f>
        <v>1</v>
      </c>
      <c r="D215" s="25" t="str">
        <f>VLOOKUP(A215,'Hoja 2'!A:D,4,0)</f>
        <v>Contrato Manipuladora</v>
      </c>
      <c r="E215" s="30">
        <v>0.0</v>
      </c>
      <c r="F215" s="31">
        <v>0.0</v>
      </c>
      <c r="G215" s="30">
        <v>50055.0</v>
      </c>
      <c r="H215" s="38">
        <v>0.0</v>
      </c>
      <c r="I215" s="39">
        <v>0.0</v>
      </c>
      <c r="J215" s="30">
        <v>0.0</v>
      </c>
      <c r="K215" s="31">
        <v>0.0</v>
      </c>
      <c r="L215" s="1"/>
    </row>
    <row r="216">
      <c r="A216" s="23" t="s">
        <v>109</v>
      </c>
      <c r="B216" s="17" t="s">
        <v>2009</v>
      </c>
      <c r="C216" s="25">
        <f>VLOOKUP(A216,'Hoja 2'!A:C,3,0)</f>
        <v>1</v>
      </c>
      <c r="D216" s="25" t="str">
        <f>VLOOKUP(A216,'Hoja 2'!A:D,4,0)</f>
        <v>Contrato 1</v>
      </c>
      <c r="E216" s="30">
        <v>0.0</v>
      </c>
      <c r="F216" s="31">
        <v>0.0</v>
      </c>
      <c r="G216" s="39">
        <v>0.0</v>
      </c>
      <c r="H216" s="38">
        <v>0.0</v>
      </c>
      <c r="I216" s="39">
        <v>0.0</v>
      </c>
      <c r="J216" s="30">
        <v>0.0</v>
      </c>
      <c r="K216" s="31">
        <v>0.0</v>
      </c>
      <c r="L216" s="1"/>
    </row>
    <row r="217">
      <c r="A217" s="23" t="s">
        <v>1924</v>
      </c>
      <c r="B217" s="17" t="s">
        <v>2010</v>
      </c>
      <c r="C217" s="25">
        <f>VLOOKUP(A217,'Hoja 2'!A:C,3,0)</f>
        <v>1</v>
      </c>
      <c r="D217" s="25" t="str">
        <f>VLOOKUP(A217,'Hoja 2'!A:D,4,0)</f>
        <v>Contrato 1</v>
      </c>
      <c r="E217" s="30">
        <v>0.0</v>
      </c>
      <c r="F217" s="31">
        <v>0.0</v>
      </c>
      <c r="G217" s="39">
        <v>0.0</v>
      </c>
      <c r="H217" s="38">
        <v>0.0</v>
      </c>
      <c r="I217" s="39">
        <v>0.0</v>
      </c>
      <c r="J217" s="30">
        <v>0.0</v>
      </c>
      <c r="K217" s="31">
        <v>0.0</v>
      </c>
      <c r="L217" s="1"/>
    </row>
    <row r="218">
      <c r="A218" s="23" t="s">
        <v>1191</v>
      </c>
      <c r="B218" s="17" t="s">
        <v>2011</v>
      </c>
      <c r="C218" s="25">
        <f>VLOOKUP(A218,'Hoja 2'!A:C,3,0)</f>
        <v>1</v>
      </c>
      <c r="D218" s="25" t="str">
        <f>VLOOKUP(A218,'Hoja 2'!A:D,4,0)</f>
        <v>Contrato 1</v>
      </c>
      <c r="E218" s="30">
        <v>0.0</v>
      </c>
      <c r="F218" s="31">
        <v>0.0</v>
      </c>
      <c r="G218" s="39">
        <v>0.0</v>
      </c>
      <c r="H218" s="38">
        <v>0.0</v>
      </c>
      <c r="I218" s="39">
        <v>0.0</v>
      </c>
      <c r="J218" s="30">
        <v>0.0</v>
      </c>
      <c r="K218" s="31">
        <v>0.0</v>
      </c>
      <c r="L218" s="1"/>
    </row>
    <row r="219">
      <c r="A219" s="23" t="s">
        <v>856</v>
      </c>
      <c r="B219" s="17" t="s">
        <v>2012</v>
      </c>
      <c r="C219" s="25">
        <f>VLOOKUP(A219,'Hoja 2'!A:C,3,0)</f>
        <v>1</v>
      </c>
      <c r="D219" s="25" t="str">
        <f>VLOOKUP(A219,'Hoja 2'!A:D,4,0)</f>
        <v>Contrato 1</v>
      </c>
      <c r="E219" s="30">
        <v>0.0</v>
      </c>
      <c r="F219" s="31">
        <v>0.0</v>
      </c>
      <c r="G219" s="39">
        <v>0.0</v>
      </c>
      <c r="H219" s="38">
        <v>0.0</v>
      </c>
      <c r="I219" s="39">
        <v>0.0</v>
      </c>
      <c r="J219" s="30">
        <v>0.0</v>
      </c>
      <c r="K219" s="31">
        <v>0.0</v>
      </c>
      <c r="L219" s="1"/>
    </row>
    <row r="220">
      <c r="A220" s="23" t="s">
        <v>1667</v>
      </c>
      <c r="B220" s="17" t="s">
        <v>2013</v>
      </c>
      <c r="C220" s="25">
        <f>VLOOKUP(A220,'Hoja 2'!A:C,3,0)</f>
        <v>1</v>
      </c>
      <c r="D220" s="25" t="str">
        <f>VLOOKUP(A220,'Hoja 2'!A:D,4,0)</f>
        <v>Contrato Manipuladora</v>
      </c>
      <c r="E220" s="30">
        <v>0.0</v>
      </c>
      <c r="F220" s="31">
        <v>0.0</v>
      </c>
      <c r="G220" s="39">
        <v>0.0</v>
      </c>
      <c r="H220" s="38">
        <v>0.0</v>
      </c>
      <c r="I220" s="39">
        <v>0.0</v>
      </c>
      <c r="J220" s="30">
        <v>0.0</v>
      </c>
      <c r="K220" s="31">
        <v>0.0</v>
      </c>
      <c r="L220" s="1"/>
    </row>
    <row r="221">
      <c r="A221" s="23" t="s">
        <v>1379</v>
      </c>
      <c r="B221" s="17" t="s">
        <v>2014</v>
      </c>
      <c r="C221" s="25">
        <f>VLOOKUP(A221,'Hoja 2'!A:C,3,0)</f>
        <v>1</v>
      </c>
      <c r="D221" s="25" t="str">
        <f>VLOOKUP(A221,'Hoja 2'!A:D,4,0)</f>
        <v>Contrato 1</v>
      </c>
      <c r="E221" s="30">
        <v>0.0</v>
      </c>
      <c r="F221" s="31">
        <v>0.0</v>
      </c>
      <c r="G221" s="39">
        <v>45500.0</v>
      </c>
      <c r="H221" s="38">
        <v>0.0</v>
      </c>
      <c r="I221" s="39">
        <v>0.0</v>
      </c>
      <c r="J221" s="30">
        <v>0.0</v>
      </c>
      <c r="K221" s="31">
        <v>0.0</v>
      </c>
      <c r="L221" s="1"/>
    </row>
    <row r="222">
      <c r="A222" s="23" t="s">
        <v>370</v>
      </c>
      <c r="B222" s="17" t="s">
        <v>2015</v>
      </c>
      <c r="C222" s="25">
        <f>VLOOKUP(A222,'Hoja 2'!A:C,3,0)</f>
        <v>1</v>
      </c>
      <c r="D222" s="25" t="str">
        <f>VLOOKUP(A222,'Hoja 2'!A:D,4,0)</f>
        <v>Contrato 1</v>
      </c>
      <c r="E222" s="30">
        <v>0.0</v>
      </c>
      <c r="F222" s="31">
        <v>0.0</v>
      </c>
      <c r="G222" s="39">
        <v>0.0</v>
      </c>
      <c r="H222" s="38">
        <v>0.0</v>
      </c>
      <c r="I222" s="39">
        <v>0.0</v>
      </c>
      <c r="J222" s="30">
        <v>0.0</v>
      </c>
      <c r="K222" s="31">
        <v>0.0</v>
      </c>
      <c r="L222" s="1"/>
    </row>
    <row r="223">
      <c r="A223" s="23" t="s">
        <v>1216</v>
      </c>
      <c r="B223" s="17" t="s">
        <v>2016</v>
      </c>
      <c r="C223" s="25">
        <f>VLOOKUP(A223,'Hoja 2'!A:C,3,0)</f>
        <v>1</v>
      </c>
      <c r="D223" s="25" t="str">
        <f>VLOOKUP(A223,'Hoja 2'!A:D,4,0)</f>
        <v>Contrato 1</v>
      </c>
      <c r="E223" s="30">
        <v>0.0</v>
      </c>
      <c r="F223" s="31">
        <v>0.0</v>
      </c>
      <c r="G223" s="39">
        <v>0.0</v>
      </c>
      <c r="H223" s="38">
        <v>0.0</v>
      </c>
      <c r="I223" s="39">
        <v>0.0</v>
      </c>
      <c r="J223" s="30">
        <v>0.0</v>
      </c>
      <c r="K223" s="31">
        <v>0.0</v>
      </c>
      <c r="L223" s="1"/>
    </row>
    <row r="224">
      <c r="A224" s="23" t="s">
        <v>1154</v>
      </c>
      <c r="B224" s="17" t="s">
        <v>2017</v>
      </c>
      <c r="C224" s="25">
        <f>VLOOKUP(A224,'Hoja 2'!A:C,3,0)</f>
        <v>1</v>
      </c>
      <c r="D224" s="25" t="str">
        <f>VLOOKUP(A224,'Hoja 2'!A:D,4,0)</f>
        <v>Contrato 1</v>
      </c>
      <c r="E224" s="30">
        <v>0.0</v>
      </c>
      <c r="F224" s="31">
        <v>0.0</v>
      </c>
      <c r="G224" s="39">
        <v>0.0</v>
      </c>
      <c r="H224" s="38">
        <v>0.0</v>
      </c>
      <c r="I224" s="39">
        <v>0.0</v>
      </c>
      <c r="J224" s="30">
        <v>0.0</v>
      </c>
      <c r="K224" s="31">
        <v>0.0</v>
      </c>
      <c r="L224" s="1"/>
    </row>
    <row r="225">
      <c r="A225" s="23" t="s">
        <v>1363</v>
      </c>
      <c r="B225" s="17" t="s">
        <v>2018</v>
      </c>
      <c r="C225" s="25">
        <f>VLOOKUP(A225,'Hoja 2'!A:C,3,0)</f>
        <v>1</v>
      </c>
      <c r="D225" s="25" t="str">
        <f>VLOOKUP(A225,'Hoja 2'!A:D,4,0)</f>
        <v>Contrato 1</v>
      </c>
      <c r="E225" s="30">
        <v>0.0</v>
      </c>
      <c r="F225" s="31">
        <v>800.0</v>
      </c>
      <c r="G225" s="39">
        <v>0.0</v>
      </c>
      <c r="H225" s="38">
        <v>0.0</v>
      </c>
      <c r="I225" s="39">
        <v>0.0</v>
      </c>
      <c r="J225" s="30">
        <v>0.0</v>
      </c>
      <c r="K225" s="31">
        <v>0.0</v>
      </c>
      <c r="L225" s="1"/>
    </row>
    <row r="226">
      <c r="A226" s="23" t="s">
        <v>1028</v>
      </c>
      <c r="B226" s="17" t="s">
        <v>2019</v>
      </c>
      <c r="C226" s="25">
        <f>VLOOKUP(A226,'Hoja 2'!A:C,3,0)</f>
        <v>1</v>
      </c>
      <c r="D226" s="25" t="str">
        <f>VLOOKUP(A226,'Hoja 2'!A:D,4,0)</f>
        <v>Contrato 1</v>
      </c>
      <c r="E226" s="30">
        <v>0.0</v>
      </c>
      <c r="F226" s="31">
        <v>0.0</v>
      </c>
      <c r="G226" s="39">
        <v>0.0</v>
      </c>
      <c r="H226" s="38">
        <v>0.0</v>
      </c>
      <c r="I226" s="39">
        <v>0.0</v>
      </c>
      <c r="J226" s="30">
        <v>0.0</v>
      </c>
      <c r="K226" s="31">
        <v>0.0</v>
      </c>
      <c r="L226" s="1"/>
    </row>
    <row r="227">
      <c r="A227" s="23" t="s">
        <v>1676</v>
      </c>
      <c r="B227" s="17" t="s">
        <v>2020</v>
      </c>
      <c r="C227" s="25">
        <f>VLOOKUP(A227,'Hoja 2'!A:C,3,0)</f>
        <v>1</v>
      </c>
      <c r="D227" s="25" t="str">
        <f>VLOOKUP(A227,'Hoja 2'!A:D,4,0)</f>
        <v>Contrato 1</v>
      </c>
      <c r="E227" s="30">
        <v>0.0</v>
      </c>
      <c r="F227" s="31">
        <v>0.0</v>
      </c>
      <c r="G227" s="39">
        <v>0.0</v>
      </c>
      <c r="H227" s="38">
        <v>0.0</v>
      </c>
      <c r="I227" s="39">
        <v>0.0</v>
      </c>
      <c r="J227" s="30">
        <v>0.0</v>
      </c>
      <c r="K227" s="31">
        <v>0.0</v>
      </c>
      <c r="L227" s="1"/>
    </row>
    <row r="228">
      <c r="A228" s="23" t="s">
        <v>1033</v>
      </c>
      <c r="B228" s="17" t="s">
        <v>2021</v>
      </c>
      <c r="C228" s="25">
        <f>VLOOKUP(A228,'Hoja 2'!A:C,3,0)</f>
        <v>1</v>
      </c>
      <c r="D228" s="25" t="str">
        <f>VLOOKUP(A228,'Hoja 2'!A:D,4,0)</f>
        <v>Contrato 1</v>
      </c>
      <c r="E228" s="30">
        <v>0.0</v>
      </c>
      <c r="F228" s="31">
        <v>0.0</v>
      </c>
      <c r="G228" s="39">
        <v>0.0</v>
      </c>
      <c r="H228" s="38">
        <v>0.0</v>
      </c>
      <c r="I228" s="39">
        <v>0.0</v>
      </c>
      <c r="J228" s="30">
        <v>0.0</v>
      </c>
      <c r="K228" s="31">
        <v>0.0</v>
      </c>
      <c r="L228" s="1"/>
    </row>
    <row r="229">
      <c r="A229" s="23" t="s">
        <v>1260</v>
      </c>
      <c r="B229" s="17" t="s">
        <v>2022</v>
      </c>
      <c r="C229" s="25">
        <f>VLOOKUP(A229,'Hoja 2'!A:C,3,0)</f>
        <v>1</v>
      </c>
      <c r="D229" s="25" t="str">
        <f>VLOOKUP(A229,'Hoja 2'!A:D,4,0)</f>
        <v>Contrato 1</v>
      </c>
      <c r="E229" s="30">
        <v>0.0</v>
      </c>
      <c r="F229" s="44">
        <v>0.0</v>
      </c>
      <c r="G229" s="39">
        <v>0.0</v>
      </c>
      <c r="H229" s="38">
        <v>0.0</v>
      </c>
      <c r="I229" s="39">
        <v>0.0</v>
      </c>
      <c r="J229" s="30">
        <v>0.0</v>
      </c>
      <c r="K229" s="31">
        <v>0.0</v>
      </c>
      <c r="L229" s="1"/>
    </row>
    <row r="230">
      <c r="A230" s="23" t="s">
        <v>377</v>
      </c>
      <c r="B230" s="17" t="s">
        <v>2023</v>
      </c>
      <c r="C230" s="25">
        <f>VLOOKUP(A230,'Hoja 2'!A:C,3,0)</f>
        <v>1</v>
      </c>
      <c r="D230" s="25" t="str">
        <f>VLOOKUP(A230,'Hoja 2'!A:D,4,0)</f>
        <v>Contrato 1</v>
      </c>
      <c r="E230" s="30">
        <v>0.0</v>
      </c>
      <c r="F230" s="31">
        <v>0.0</v>
      </c>
      <c r="G230" s="39">
        <v>0.0</v>
      </c>
      <c r="H230" s="38">
        <v>0.0</v>
      </c>
      <c r="I230" s="39">
        <v>0.0</v>
      </c>
      <c r="J230" s="30">
        <v>0.0</v>
      </c>
      <c r="K230" s="31">
        <v>0.0</v>
      </c>
      <c r="L230" s="1"/>
    </row>
    <row r="231">
      <c r="A231" s="23" t="s">
        <v>1747</v>
      </c>
      <c r="B231" s="17" t="s">
        <v>2024</v>
      </c>
      <c r="C231" s="25">
        <f>VLOOKUP(A231,'Hoja 2'!A:C,3,0)</f>
        <v>1</v>
      </c>
      <c r="D231" s="25" t="str">
        <f>VLOOKUP(A231,'Hoja 2'!A:D,4,0)</f>
        <v>Contrato 1</v>
      </c>
      <c r="E231" s="30">
        <v>0.0</v>
      </c>
      <c r="F231" s="31">
        <v>0.0</v>
      </c>
      <c r="G231" s="39">
        <v>0.0</v>
      </c>
      <c r="H231" s="38">
        <v>0.0</v>
      </c>
      <c r="I231" s="39">
        <v>0.0</v>
      </c>
      <c r="J231" s="30">
        <v>0.0</v>
      </c>
      <c r="K231" s="31">
        <v>0.0</v>
      </c>
      <c r="L231" s="1"/>
    </row>
    <row r="232">
      <c r="A232" s="23" t="s">
        <v>1503</v>
      </c>
      <c r="B232" s="17" t="s">
        <v>2025</v>
      </c>
      <c r="C232" s="25">
        <f>VLOOKUP(A232,'Hoja 2'!A:C,3,0)</f>
        <v>1</v>
      </c>
      <c r="D232" s="25" t="str">
        <f>VLOOKUP(A232,'Hoja 2'!A:D,4,0)</f>
        <v>Contrato 1</v>
      </c>
      <c r="E232" s="30">
        <v>0.0</v>
      </c>
      <c r="F232" s="31">
        <v>0.0</v>
      </c>
      <c r="G232" s="39">
        <v>0.0</v>
      </c>
      <c r="H232" s="38">
        <v>0.0</v>
      </c>
      <c r="I232" s="39">
        <v>0.0</v>
      </c>
      <c r="J232" s="30">
        <v>0.0</v>
      </c>
      <c r="K232" s="31">
        <v>0.0</v>
      </c>
      <c r="L232" s="1"/>
    </row>
    <row r="233">
      <c r="A233" s="23" t="s">
        <v>431</v>
      </c>
      <c r="B233" s="17" t="s">
        <v>2026</v>
      </c>
      <c r="C233" s="25">
        <f>VLOOKUP(A233,'Hoja 2'!A:C,3,0)</f>
        <v>1</v>
      </c>
      <c r="D233" s="25" t="str">
        <f>VLOOKUP(A233,'Hoja 2'!A:D,4,0)</f>
        <v>Contrato 1</v>
      </c>
      <c r="E233" s="30">
        <v>0.0</v>
      </c>
      <c r="F233" s="31">
        <v>0.0</v>
      </c>
      <c r="G233" s="39">
        <v>0.0</v>
      </c>
      <c r="H233" s="38">
        <v>0.0</v>
      </c>
      <c r="I233" s="39">
        <v>0.0</v>
      </c>
      <c r="J233" s="30">
        <v>0.0</v>
      </c>
      <c r="K233" s="31">
        <v>0.0</v>
      </c>
      <c r="L233" s="1"/>
    </row>
    <row r="234">
      <c r="A234" s="23" t="s">
        <v>1511</v>
      </c>
      <c r="B234" s="17" t="s">
        <v>2027</v>
      </c>
      <c r="C234" s="25">
        <f>VLOOKUP(A234,'Hoja 2'!A:C,3,0)</f>
        <v>1</v>
      </c>
      <c r="D234" s="25" t="str">
        <f>VLOOKUP(A234,'Hoja 2'!A:D,4,0)</f>
        <v>Contrato 1</v>
      </c>
      <c r="E234" s="30">
        <v>0.0</v>
      </c>
      <c r="F234" s="31">
        <v>0.0</v>
      </c>
      <c r="G234" s="39">
        <v>0.0</v>
      </c>
      <c r="H234" s="38">
        <v>0.0</v>
      </c>
      <c r="I234" s="39">
        <v>0.0</v>
      </c>
      <c r="J234" s="30">
        <v>0.0</v>
      </c>
      <c r="K234" s="31">
        <v>0.0</v>
      </c>
      <c r="L234" s="1"/>
    </row>
    <row r="235">
      <c r="A235" s="23" t="s">
        <v>2029</v>
      </c>
      <c r="B235" s="17" t="s">
        <v>2028</v>
      </c>
      <c r="C235" s="25">
        <f>VLOOKUP(A235,'Hoja 2'!A:C,3,0)</f>
        <v>1</v>
      </c>
      <c r="D235" s="25" t="str">
        <f>VLOOKUP(A235,'Hoja 2'!A:D,4,0)</f>
        <v>Contrato 1</v>
      </c>
      <c r="E235" s="30">
        <v>0.0</v>
      </c>
      <c r="F235" s="31">
        <v>0.0</v>
      </c>
      <c r="G235" s="39">
        <v>0.0</v>
      </c>
      <c r="H235" s="38">
        <v>0.0</v>
      </c>
      <c r="I235" s="39">
        <v>0.0</v>
      </c>
      <c r="J235" s="30">
        <v>0.0</v>
      </c>
      <c r="K235" s="31">
        <v>0.0</v>
      </c>
      <c r="L235" s="1"/>
    </row>
    <row r="236">
      <c r="A236" s="23" t="s">
        <v>238</v>
      </c>
      <c r="B236" s="17" t="s">
        <v>2030</v>
      </c>
      <c r="C236" s="25">
        <f>VLOOKUP(A236,'Hoja 2'!A:C,3,0)</f>
        <v>1</v>
      </c>
      <c r="D236" s="25" t="str">
        <f>VLOOKUP(A236,'Hoja 2'!A:D,4,0)</f>
        <v>Contrato 1</v>
      </c>
      <c r="E236" s="30">
        <v>0.0</v>
      </c>
      <c r="F236" s="31">
        <v>0.0</v>
      </c>
      <c r="G236" s="39">
        <v>0.0</v>
      </c>
      <c r="H236" s="38">
        <v>0.0</v>
      </c>
      <c r="I236" s="39">
        <v>0.0</v>
      </c>
      <c r="J236" s="30">
        <v>0.0</v>
      </c>
      <c r="K236" s="31">
        <v>0.0</v>
      </c>
      <c r="L236" s="1"/>
    </row>
    <row r="237">
      <c r="A237" s="23" t="s">
        <v>2032</v>
      </c>
      <c r="B237" s="17" t="s">
        <v>2031</v>
      </c>
      <c r="C237" s="25">
        <f>VLOOKUP(A237,'Hoja 2'!A:C,3,0)</f>
        <v>1</v>
      </c>
      <c r="D237" s="25" t="str">
        <f>VLOOKUP(A237,'Hoja 2'!A:D,4,0)</f>
        <v>Contrato 1</v>
      </c>
      <c r="E237" s="30">
        <v>0.0</v>
      </c>
      <c r="F237" s="31">
        <v>0.0</v>
      </c>
      <c r="G237" s="39">
        <v>0.0</v>
      </c>
      <c r="H237" s="38">
        <v>0.0</v>
      </c>
      <c r="I237" s="39">
        <v>0.0</v>
      </c>
      <c r="J237" s="30">
        <v>0.0</v>
      </c>
      <c r="K237" s="31">
        <v>0.0</v>
      </c>
      <c r="L237" s="1"/>
    </row>
    <row r="238">
      <c r="A238" s="23" t="s">
        <v>881</v>
      </c>
      <c r="B238" s="17" t="s">
        <v>2033</v>
      </c>
      <c r="C238" s="25">
        <f>VLOOKUP(A238,'Hoja 2'!A:C,3,0)</f>
        <v>1</v>
      </c>
      <c r="D238" s="25" t="str">
        <f>VLOOKUP(A238,'Hoja 2'!A:D,4,0)</f>
        <v>Contrato 1</v>
      </c>
      <c r="E238" s="30">
        <v>0.0</v>
      </c>
      <c r="F238" s="31">
        <v>0.0</v>
      </c>
      <c r="G238" s="39">
        <v>0.0</v>
      </c>
      <c r="H238" s="38">
        <v>0.0</v>
      </c>
      <c r="I238" s="39">
        <v>0.0</v>
      </c>
      <c r="J238" s="30">
        <v>0.0</v>
      </c>
      <c r="K238" s="31">
        <v>0.0</v>
      </c>
      <c r="L238" s="1"/>
    </row>
    <row r="239">
      <c r="A239" s="23" t="s">
        <v>648</v>
      </c>
      <c r="B239" s="17" t="s">
        <v>2034</v>
      </c>
      <c r="C239" s="25">
        <f>VLOOKUP(A239,'Hoja 2'!A:C,3,0)</f>
        <v>1</v>
      </c>
      <c r="D239" s="25" t="str">
        <f>VLOOKUP(A239,'Hoja 2'!A:D,4,0)</f>
        <v>Contrato 1</v>
      </c>
      <c r="E239" s="30">
        <v>0.0</v>
      </c>
      <c r="F239" s="31">
        <v>0.0</v>
      </c>
      <c r="G239" s="39">
        <v>0.0</v>
      </c>
      <c r="H239" s="38">
        <v>0.0</v>
      </c>
      <c r="I239" s="39">
        <v>0.0</v>
      </c>
      <c r="J239" s="30">
        <v>0.0</v>
      </c>
      <c r="K239" s="31">
        <v>0.0</v>
      </c>
      <c r="L239" s="1"/>
    </row>
    <row r="240">
      <c r="A240" s="23" t="s">
        <v>94</v>
      </c>
      <c r="B240" s="17" t="s">
        <v>2035</v>
      </c>
      <c r="C240" s="25">
        <f>VLOOKUP(A240,'Hoja 2'!A:C,3,0)</f>
        <v>1</v>
      </c>
      <c r="D240" s="25" t="str">
        <f>VLOOKUP(A240,'Hoja 2'!A:D,4,0)</f>
        <v>Contrato 1</v>
      </c>
      <c r="E240" s="45">
        <v>0.0</v>
      </c>
      <c r="F240" s="31">
        <v>0.0</v>
      </c>
      <c r="G240" s="39">
        <v>0.0</v>
      </c>
      <c r="H240" s="46">
        <v>0.0</v>
      </c>
      <c r="I240" s="32">
        <v>0.0</v>
      </c>
      <c r="J240" s="32">
        <v>0.0</v>
      </c>
      <c r="K240" s="31">
        <v>0.0</v>
      </c>
      <c r="L240" s="1"/>
    </row>
    <row r="241">
      <c r="A241" s="23" t="s">
        <v>121</v>
      </c>
      <c r="B241" s="17" t="s">
        <v>2036</v>
      </c>
      <c r="C241" s="25">
        <f>VLOOKUP(A241,'Hoja 2'!A:C,3,0)</f>
        <v>1</v>
      </c>
      <c r="D241" s="25" t="str">
        <f>VLOOKUP(A241,'Hoja 2'!A:D,4,0)</f>
        <v>Contrato 1</v>
      </c>
      <c r="E241" s="45">
        <v>0.0</v>
      </c>
      <c r="F241" s="31">
        <v>0.0</v>
      </c>
      <c r="G241" s="39">
        <v>0.0</v>
      </c>
      <c r="H241" s="46">
        <v>0.0</v>
      </c>
      <c r="I241" s="32">
        <v>0.0</v>
      </c>
      <c r="J241" s="32">
        <v>0.0</v>
      </c>
      <c r="K241" s="31">
        <v>0.0</v>
      </c>
      <c r="L241" s="40"/>
    </row>
    <row r="242">
      <c r="A242" s="23" t="s">
        <v>182</v>
      </c>
      <c r="B242" s="17" t="s">
        <v>2037</v>
      </c>
      <c r="C242" s="25">
        <f>VLOOKUP(A242,'Hoja 2'!A:C,3,0)</f>
        <v>1</v>
      </c>
      <c r="D242" s="25" t="str">
        <f>VLOOKUP(A242,'Hoja 2'!A:D,4,0)</f>
        <v>Contrato 1</v>
      </c>
      <c r="E242" s="45">
        <v>0.0</v>
      </c>
      <c r="F242" s="31">
        <v>0.0</v>
      </c>
      <c r="G242" s="32">
        <v>0.0</v>
      </c>
      <c r="H242" s="46">
        <v>17000.0</v>
      </c>
      <c r="I242" s="32">
        <v>0.0</v>
      </c>
      <c r="J242" s="32">
        <v>0.0</v>
      </c>
      <c r="K242" s="31">
        <v>0.0</v>
      </c>
      <c r="L242" s="1"/>
    </row>
    <row r="243">
      <c r="A243" s="23" t="s">
        <v>204</v>
      </c>
      <c r="B243" s="17" t="s">
        <v>2038</v>
      </c>
      <c r="C243" s="25">
        <f>VLOOKUP(A243,'Hoja 2'!A:C,3,0)</f>
        <v>1</v>
      </c>
      <c r="D243" s="25" t="str">
        <f>VLOOKUP(A243,'Hoja 2'!A:D,4,0)</f>
        <v>Contrato 1</v>
      </c>
      <c r="E243" s="45">
        <v>0.0</v>
      </c>
      <c r="F243" s="31">
        <v>0.0</v>
      </c>
      <c r="G243" s="32">
        <v>0.0</v>
      </c>
      <c r="H243" s="46">
        <v>0.0</v>
      </c>
      <c r="I243" s="32">
        <v>0.0</v>
      </c>
      <c r="J243" s="32">
        <v>0.0</v>
      </c>
      <c r="K243" s="31">
        <v>0.0</v>
      </c>
      <c r="L243" s="1"/>
    </row>
    <row r="244">
      <c r="A244" s="23" t="s">
        <v>210</v>
      </c>
      <c r="B244" s="17" t="s">
        <v>2039</v>
      </c>
      <c r="C244" s="25">
        <f>VLOOKUP(A244,'Hoja 2'!A:C,3,0)</f>
        <v>1</v>
      </c>
      <c r="D244" s="25" t="str">
        <f>VLOOKUP(A244,'Hoja 2'!A:D,4,0)</f>
        <v>Contrato 1</v>
      </c>
      <c r="E244" s="45">
        <v>0.0</v>
      </c>
      <c r="F244" s="31">
        <v>0.0</v>
      </c>
      <c r="G244" s="32">
        <v>0.0</v>
      </c>
      <c r="H244" s="46">
        <v>0.0</v>
      </c>
      <c r="I244" s="32">
        <v>0.0</v>
      </c>
      <c r="J244" s="32">
        <v>0.0</v>
      </c>
      <c r="K244" s="31">
        <v>0.0</v>
      </c>
      <c r="L244" s="1"/>
    </row>
    <row r="245">
      <c r="A245" s="23" t="s">
        <v>219</v>
      </c>
      <c r="B245" s="17" t="s">
        <v>2040</v>
      </c>
      <c r="C245" s="25">
        <f>VLOOKUP(A245,'Hoja 2'!A:C,3,0)</f>
        <v>1</v>
      </c>
      <c r="D245" s="25" t="str">
        <f>VLOOKUP(A245,'Hoja 2'!A:D,4,0)</f>
        <v>Contrato 1</v>
      </c>
      <c r="E245" s="45">
        <v>0.0</v>
      </c>
      <c r="F245" s="31">
        <v>0.0</v>
      </c>
      <c r="G245" s="32">
        <v>0.0</v>
      </c>
      <c r="H245" s="46">
        <v>0.0</v>
      </c>
      <c r="I245" s="32">
        <v>0.0</v>
      </c>
      <c r="J245" s="32">
        <v>0.0</v>
      </c>
      <c r="K245" s="31">
        <v>0.0</v>
      </c>
      <c r="L245" s="1"/>
    </row>
    <row r="246">
      <c r="A246" s="23" t="s">
        <v>224</v>
      </c>
      <c r="B246" s="17" t="s">
        <v>2041</v>
      </c>
      <c r="C246" s="25">
        <f>VLOOKUP(A246,'Hoja 2'!A:C,3,0)</f>
        <v>1</v>
      </c>
      <c r="D246" s="25" t="str">
        <f>VLOOKUP(A246,'Hoja 2'!A:D,4,0)</f>
        <v>Contrato 1</v>
      </c>
      <c r="E246" s="45">
        <v>0.0</v>
      </c>
      <c r="F246" s="31">
        <v>0.0</v>
      </c>
      <c r="G246" s="32">
        <v>0.0</v>
      </c>
      <c r="H246" s="46">
        <v>0.0</v>
      </c>
      <c r="I246" s="32">
        <v>0.0</v>
      </c>
      <c r="J246" s="32">
        <v>0.0</v>
      </c>
      <c r="K246" s="31">
        <v>0.0</v>
      </c>
      <c r="L246" s="1"/>
    </row>
    <row r="247">
      <c r="A247" s="23" t="s">
        <v>236</v>
      </c>
      <c r="B247" s="17" t="s">
        <v>2042</v>
      </c>
      <c r="C247" s="25">
        <f>VLOOKUP(A247,'Hoja 2'!A:C,3,0)</f>
        <v>1</v>
      </c>
      <c r="D247" s="25" t="str">
        <f>VLOOKUP(A247,'Hoja 2'!A:D,4,0)</f>
        <v>Contrato 1</v>
      </c>
      <c r="E247" s="45">
        <v>0.0</v>
      </c>
      <c r="F247" s="31">
        <v>0.0</v>
      </c>
      <c r="G247" s="32">
        <v>0.0</v>
      </c>
      <c r="H247" s="46">
        <v>0.0</v>
      </c>
      <c r="I247" s="32">
        <v>0.0</v>
      </c>
      <c r="J247" s="32">
        <v>0.0</v>
      </c>
      <c r="K247" s="31">
        <v>0.0</v>
      </c>
      <c r="L247" s="1"/>
    </row>
    <row r="248">
      <c r="A248" s="23" t="s">
        <v>265</v>
      </c>
      <c r="B248" s="17" t="s">
        <v>2043</v>
      </c>
      <c r="C248" s="25">
        <f>VLOOKUP(A248,'Hoja 2'!A:C,3,0)</f>
        <v>1</v>
      </c>
      <c r="D248" s="25" t="str">
        <f>VLOOKUP(A248,'Hoja 2'!A:D,4,0)</f>
        <v>Contrato 1</v>
      </c>
      <c r="E248" s="45">
        <v>0.0</v>
      </c>
      <c r="F248" s="31">
        <v>0.0</v>
      </c>
      <c r="G248" s="32">
        <v>0.0</v>
      </c>
      <c r="H248" s="46">
        <v>0.0</v>
      </c>
      <c r="I248" s="32">
        <v>0.0</v>
      </c>
      <c r="J248" s="32">
        <v>0.0</v>
      </c>
      <c r="K248" s="31">
        <v>0.0</v>
      </c>
      <c r="L248" s="1"/>
    </row>
    <row r="249">
      <c r="A249" s="23" t="s">
        <v>269</v>
      </c>
      <c r="B249" s="17" t="s">
        <v>2044</v>
      </c>
      <c r="C249" s="25">
        <f>VLOOKUP(A249,'Hoja 2'!A:C,3,0)</f>
        <v>1</v>
      </c>
      <c r="D249" s="25" t="str">
        <f>VLOOKUP(A249,'Hoja 2'!A:D,4,0)</f>
        <v>Contrato 1</v>
      </c>
      <c r="E249" s="45">
        <v>0.0</v>
      </c>
      <c r="F249" s="31">
        <v>0.0</v>
      </c>
      <c r="G249" s="32">
        <v>0.0</v>
      </c>
      <c r="H249" s="46">
        <v>0.0</v>
      </c>
      <c r="I249" s="32">
        <v>0.0</v>
      </c>
      <c r="J249" s="32">
        <v>0.0</v>
      </c>
      <c r="K249" s="31">
        <v>0.0</v>
      </c>
      <c r="L249" s="1"/>
    </row>
    <row r="250">
      <c r="A250" s="23" t="s">
        <v>273</v>
      </c>
      <c r="B250" s="17" t="s">
        <v>2045</v>
      </c>
      <c r="C250" s="25">
        <f>VLOOKUP(A250,'Hoja 2'!A:C,3,0)</f>
        <v>1</v>
      </c>
      <c r="D250" s="25" t="str">
        <f>VLOOKUP(A250,'Hoja 2'!A:D,4,0)</f>
        <v>Contrato Manipuladora</v>
      </c>
      <c r="E250" s="45">
        <v>0.0</v>
      </c>
      <c r="F250" s="31">
        <v>0.0</v>
      </c>
      <c r="G250" s="32">
        <v>0.0</v>
      </c>
      <c r="H250" s="46">
        <v>0.0</v>
      </c>
      <c r="I250" s="32">
        <v>0.0</v>
      </c>
      <c r="J250" s="32">
        <v>0.0</v>
      </c>
      <c r="K250" s="31">
        <v>0.0</v>
      </c>
      <c r="L250" s="1"/>
    </row>
    <row r="251">
      <c r="A251" s="23" t="s">
        <v>306</v>
      </c>
      <c r="B251" s="17" t="s">
        <v>2046</v>
      </c>
      <c r="C251" s="25">
        <f>VLOOKUP(A251,'Hoja 2'!A:C,3,0)</f>
        <v>1</v>
      </c>
      <c r="D251" s="25" t="str">
        <f>VLOOKUP(A251,'Hoja 2'!A:D,4,0)</f>
        <v>Contrato 1</v>
      </c>
      <c r="E251" s="45">
        <v>0.0</v>
      </c>
      <c r="F251" s="31">
        <v>0.0</v>
      </c>
      <c r="G251" s="32">
        <v>0.0</v>
      </c>
      <c r="H251" s="46">
        <v>0.0</v>
      </c>
      <c r="I251" s="32">
        <v>0.0</v>
      </c>
      <c r="J251" s="32">
        <v>0.0</v>
      </c>
      <c r="K251" s="31">
        <v>0.0</v>
      </c>
      <c r="L251" s="1"/>
    </row>
    <row r="252">
      <c r="A252" s="23" t="s">
        <v>317</v>
      </c>
      <c r="B252" s="17" t="s">
        <v>2047</v>
      </c>
      <c r="C252" s="25">
        <f>VLOOKUP(A252,'Hoja 2'!A:C,3,0)</f>
        <v>1</v>
      </c>
      <c r="D252" s="25" t="str">
        <f>VLOOKUP(A252,'Hoja 2'!A:D,4,0)</f>
        <v>Contrato 1</v>
      </c>
      <c r="E252" s="45">
        <v>0.0</v>
      </c>
      <c r="F252" s="31">
        <v>0.0</v>
      </c>
      <c r="G252" s="32">
        <v>0.0</v>
      </c>
      <c r="H252" s="46">
        <v>0.0</v>
      </c>
      <c r="I252" s="32">
        <v>0.0</v>
      </c>
      <c r="J252" s="32">
        <v>0.0</v>
      </c>
      <c r="K252" s="31">
        <v>0.0</v>
      </c>
      <c r="L252" s="1"/>
    </row>
    <row r="253">
      <c r="A253" s="23" t="s">
        <v>323</v>
      </c>
      <c r="B253" s="17" t="s">
        <v>2048</v>
      </c>
      <c r="C253" s="25">
        <f>VLOOKUP(A253,'Hoja 2'!A:C,3,0)</f>
        <v>1</v>
      </c>
      <c r="D253" s="25" t="str">
        <f>VLOOKUP(A253,'Hoja 2'!A:D,4,0)</f>
        <v>Contrato 1</v>
      </c>
      <c r="E253" s="45">
        <v>0.0</v>
      </c>
      <c r="F253" s="31">
        <v>0.0</v>
      </c>
      <c r="G253" s="32">
        <v>0.0</v>
      </c>
      <c r="H253" s="46">
        <v>0.0</v>
      </c>
      <c r="I253" s="32">
        <v>0.0</v>
      </c>
      <c r="J253" s="32">
        <v>0.0</v>
      </c>
      <c r="K253" s="31">
        <v>0.0</v>
      </c>
      <c r="L253" s="1"/>
    </row>
    <row r="254">
      <c r="A254" s="23" t="s">
        <v>350</v>
      </c>
      <c r="B254" s="17" t="s">
        <v>2049</v>
      </c>
      <c r="C254" s="25">
        <f>VLOOKUP(A254,'Hoja 2'!A:C,3,0)</f>
        <v>1</v>
      </c>
      <c r="D254" s="25" t="str">
        <f>VLOOKUP(A254,'Hoja 2'!A:D,4,0)</f>
        <v>Contrato 1</v>
      </c>
      <c r="E254" s="45">
        <v>0.0</v>
      </c>
      <c r="F254" s="31">
        <v>0.0</v>
      </c>
      <c r="G254" s="32">
        <v>0.0</v>
      </c>
      <c r="H254" s="46">
        <v>0.0</v>
      </c>
      <c r="I254" s="32">
        <v>0.0</v>
      </c>
      <c r="J254" s="32">
        <v>0.0</v>
      </c>
      <c r="K254" s="31">
        <v>0.0</v>
      </c>
      <c r="L254" s="1"/>
    </row>
    <row r="255">
      <c r="A255" s="23" t="s">
        <v>404</v>
      </c>
      <c r="B255" s="17" t="s">
        <v>2050</v>
      </c>
      <c r="C255" s="25">
        <f>VLOOKUP(A255,'Hoja 2'!A:C,3,0)</f>
        <v>1</v>
      </c>
      <c r="D255" s="25" t="str">
        <f>VLOOKUP(A255,'Hoja 2'!A:D,4,0)</f>
        <v>Contrato 1</v>
      </c>
      <c r="E255" s="45">
        <v>0.0</v>
      </c>
      <c r="F255" s="31">
        <v>0.0</v>
      </c>
      <c r="G255" s="32">
        <v>0.0</v>
      </c>
      <c r="H255" s="46">
        <v>0.0</v>
      </c>
      <c r="I255" s="32">
        <v>0.0</v>
      </c>
      <c r="J255" s="32">
        <v>0.0</v>
      </c>
      <c r="K255" s="31">
        <v>0.0</v>
      </c>
      <c r="L255" s="1"/>
    </row>
    <row r="256">
      <c r="A256" s="23" t="s">
        <v>434</v>
      </c>
      <c r="B256" s="17" t="s">
        <v>2051</v>
      </c>
      <c r="C256" s="25">
        <f>VLOOKUP(A256,'Hoja 2'!A:C,3,0)</f>
        <v>1</v>
      </c>
      <c r="D256" s="25" t="str">
        <f>VLOOKUP(A256,'Hoja 2'!A:D,4,0)</f>
        <v>Contrato 1</v>
      </c>
      <c r="E256" s="45">
        <v>0.0</v>
      </c>
      <c r="F256" s="31">
        <v>0.0</v>
      </c>
      <c r="G256" s="32">
        <v>0.0</v>
      </c>
      <c r="H256" s="46">
        <v>0.0</v>
      </c>
      <c r="I256" s="32">
        <v>0.0</v>
      </c>
      <c r="J256" s="32">
        <v>0.0</v>
      </c>
      <c r="K256" s="31">
        <v>0.0</v>
      </c>
      <c r="L256" s="1"/>
    </row>
    <row r="257">
      <c r="A257" s="23" t="s">
        <v>452</v>
      </c>
      <c r="B257" s="17" t="s">
        <v>2052</v>
      </c>
      <c r="C257" s="25">
        <f>VLOOKUP(A257,'Hoja 2'!A:C,3,0)</f>
        <v>1</v>
      </c>
      <c r="D257" s="25" t="str">
        <f>VLOOKUP(A257,'Hoja 2'!A:D,4,0)</f>
        <v>Contrato 1</v>
      </c>
      <c r="E257" s="45">
        <v>0.0</v>
      </c>
      <c r="F257" s="31">
        <v>0.0</v>
      </c>
      <c r="G257" s="32">
        <v>0.0</v>
      </c>
      <c r="H257" s="46">
        <v>0.0</v>
      </c>
      <c r="I257" s="32">
        <v>0.0</v>
      </c>
      <c r="J257" s="32">
        <v>0.0</v>
      </c>
      <c r="K257" s="31">
        <v>0.0</v>
      </c>
      <c r="L257" s="1"/>
    </row>
    <row r="258">
      <c r="A258" s="23" t="s">
        <v>470</v>
      </c>
      <c r="B258" s="17" t="s">
        <v>2053</v>
      </c>
      <c r="C258" s="25">
        <f>VLOOKUP(A258,'Hoja 2'!A:C,3,0)</f>
        <v>1</v>
      </c>
      <c r="D258" s="25" t="str">
        <f>VLOOKUP(A258,'Hoja 2'!A:D,4,0)</f>
        <v>Contrato 1</v>
      </c>
      <c r="E258" s="45">
        <v>0.0</v>
      </c>
      <c r="F258" s="31">
        <v>0.0</v>
      </c>
      <c r="G258" s="32">
        <v>0.0</v>
      </c>
      <c r="H258" s="46">
        <v>0.0</v>
      </c>
      <c r="I258" s="32">
        <v>0.0</v>
      </c>
      <c r="J258" s="32">
        <v>0.0</v>
      </c>
      <c r="K258" s="31">
        <v>0.0</v>
      </c>
      <c r="L258" s="1"/>
    </row>
    <row r="259">
      <c r="A259" s="23" t="s">
        <v>541</v>
      </c>
      <c r="B259" s="17" t="s">
        <v>2054</v>
      </c>
      <c r="C259" s="25">
        <f>VLOOKUP(A259,'Hoja 2'!A:C,3,0)</f>
        <v>1</v>
      </c>
      <c r="D259" s="25" t="str">
        <f>VLOOKUP(A259,'Hoja 2'!A:D,4,0)</f>
        <v>Contrato 1</v>
      </c>
      <c r="E259" s="45">
        <v>0.0</v>
      </c>
      <c r="F259" s="31">
        <v>860.0</v>
      </c>
      <c r="G259" s="32">
        <v>0.0</v>
      </c>
      <c r="H259" s="46">
        <v>0.0</v>
      </c>
      <c r="I259" s="32">
        <v>0.0</v>
      </c>
      <c r="J259" s="32">
        <v>0.0</v>
      </c>
      <c r="K259" s="31">
        <v>0.0</v>
      </c>
      <c r="L259" s="1"/>
    </row>
    <row r="260">
      <c r="A260" s="23" t="s">
        <v>77</v>
      </c>
      <c r="B260" s="17" t="s">
        <v>76</v>
      </c>
      <c r="C260" s="25">
        <f>VLOOKUP(A260,'Hoja 2'!A:C,3,0)</f>
        <v>1</v>
      </c>
      <c r="D260" s="25" t="str">
        <f>VLOOKUP(A260,'Hoja 2'!A:D,4,0)</f>
        <v>Contrato 1</v>
      </c>
      <c r="E260" s="45">
        <v>0.0</v>
      </c>
      <c r="F260" s="31">
        <v>0.0</v>
      </c>
      <c r="G260" s="32">
        <v>0.0</v>
      </c>
      <c r="H260" s="46">
        <v>0.0</v>
      </c>
      <c r="I260" s="32">
        <v>0.0</v>
      </c>
      <c r="J260" s="32">
        <v>0.0</v>
      </c>
      <c r="K260" s="31">
        <v>0.0</v>
      </c>
      <c r="L260" s="1"/>
    </row>
    <row r="261">
      <c r="A261" s="23" t="s">
        <v>622</v>
      </c>
      <c r="B261" s="17" t="s">
        <v>2055</v>
      </c>
      <c r="C261" s="25">
        <f>VLOOKUP(A261,'Hoja 2'!A:C,3,0)</f>
        <v>1</v>
      </c>
      <c r="D261" s="25" t="str">
        <f>VLOOKUP(A261,'Hoja 2'!A:D,4,0)</f>
        <v>Contrato 1</v>
      </c>
      <c r="E261" s="45">
        <v>0.0</v>
      </c>
      <c r="F261" s="31">
        <v>0.0</v>
      </c>
      <c r="G261" s="32">
        <v>0.0</v>
      </c>
      <c r="H261" s="46">
        <v>0.0</v>
      </c>
      <c r="I261" s="32">
        <v>0.0</v>
      </c>
      <c r="J261" s="32">
        <v>0.0</v>
      </c>
      <c r="K261" s="31">
        <v>0.0</v>
      </c>
      <c r="L261" s="1"/>
    </row>
    <row r="262">
      <c r="A262" s="23" t="s">
        <v>669</v>
      </c>
      <c r="B262" s="17" t="s">
        <v>2056</v>
      </c>
      <c r="C262" s="25">
        <f>VLOOKUP(A262,'Hoja 2'!A:C,3,0)</f>
        <v>1</v>
      </c>
      <c r="D262" s="25" t="str">
        <f>VLOOKUP(A262,'Hoja 2'!A:D,4,0)</f>
        <v>CONTRATO 1</v>
      </c>
      <c r="E262" s="45">
        <v>0.0</v>
      </c>
      <c r="F262" s="31">
        <v>0.0</v>
      </c>
      <c r="G262" s="32">
        <v>0.0</v>
      </c>
      <c r="H262" s="46">
        <v>0.0</v>
      </c>
      <c r="I262" s="32">
        <v>0.0</v>
      </c>
      <c r="J262" s="32">
        <v>0.0</v>
      </c>
      <c r="K262" s="31">
        <v>0.0</v>
      </c>
      <c r="L262" s="1"/>
    </row>
    <row r="263">
      <c r="A263" s="23" t="s">
        <v>688</v>
      </c>
      <c r="B263" s="17" t="s">
        <v>2057</v>
      </c>
      <c r="C263" s="25">
        <f>VLOOKUP(A263,'Hoja 2'!A:C,3,0)</f>
        <v>1</v>
      </c>
      <c r="D263" s="25" t="str">
        <f>VLOOKUP(A263,'Hoja 2'!A:D,4,0)</f>
        <v>Contrato Manipuladora</v>
      </c>
      <c r="E263" s="45">
        <v>0.0</v>
      </c>
      <c r="F263" s="31">
        <v>0.0</v>
      </c>
      <c r="G263" s="32">
        <v>0.0</v>
      </c>
      <c r="H263" s="46">
        <v>34000.0</v>
      </c>
      <c r="I263" s="32">
        <v>0.0</v>
      </c>
      <c r="J263" s="32">
        <v>0.0</v>
      </c>
      <c r="K263" s="31">
        <v>0.0</v>
      </c>
      <c r="L263" s="1"/>
    </row>
    <row r="264">
      <c r="A264" s="23" t="s">
        <v>714</v>
      </c>
      <c r="B264" s="17" t="s">
        <v>2058</v>
      </c>
      <c r="C264" s="25">
        <f>VLOOKUP(A264,'Hoja 2'!A:C,3,0)</f>
        <v>1</v>
      </c>
      <c r="D264" s="25" t="str">
        <f>VLOOKUP(A264,'Hoja 2'!A:D,4,0)</f>
        <v>Contrato 1</v>
      </c>
      <c r="E264" s="45">
        <v>0.0</v>
      </c>
      <c r="F264" s="31">
        <v>0.0</v>
      </c>
      <c r="G264" s="32">
        <v>0.0</v>
      </c>
      <c r="H264" s="46">
        <v>0.0</v>
      </c>
      <c r="I264" s="32">
        <v>0.0</v>
      </c>
      <c r="J264" s="32">
        <v>0.0</v>
      </c>
      <c r="K264" s="31">
        <v>0.0</v>
      </c>
      <c r="L264" s="1"/>
    </row>
    <row r="265">
      <c r="A265" s="23" t="s">
        <v>719</v>
      </c>
      <c r="B265" s="17" t="s">
        <v>2059</v>
      </c>
      <c r="C265" s="25">
        <f>VLOOKUP(A265,'Hoja 2'!A:C,3,0)</f>
        <v>1</v>
      </c>
      <c r="D265" s="25" t="str">
        <f>VLOOKUP(A265,'Hoja 2'!A:D,4,0)</f>
        <v>Contrato 1</v>
      </c>
      <c r="E265" s="45">
        <v>0.0</v>
      </c>
      <c r="F265" s="44">
        <v>0.0</v>
      </c>
      <c r="G265" s="32">
        <v>0.0</v>
      </c>
      <c r="H265" s="46">
        <v>0.0</v>
      </c>
      <c r="I265" s="32">
        <v>0.0</v>
      </c>
      <c r="J265" s="32">
        <v>0.0</v>
      </c>
      <c r="K265" s="31">
        <v>0.0</v>
      </c>
      <c r="L265" s="1"/>
    </row>
    <row r="266">
      <c r="A266" s="23" t="s">
        <v>755</v>
      </c>
      <c r="B266" s="17" t="s">
        <v>2060</v>
      </c>
      <c r="C266" s="25">
        <f>VLOOKUP(A266,'Hoja 2'!A:C,3,0)</f>
        <v>1</v>
      </c>
      <c r="D266" s="25" t="str">
        <f>VLOOKUP(A266,'Hoja 2'!A:D,4,0)</f>
        <v>Contrato 1</v>
      </c>
      <c r="E266" s="45">
        <v>0.0</v>
      </c>
      <c r="F266" s="31">
        <v>0.0</v>
      </c>
      <c r="G266" s="32">
        <v>0.0</v>
      </c>
      <c r="H266" s="46">
        <v>17000.0</v>
      </c>
      <c r="I266" s="32">
        <v>0.0</v>
      </c>
      <c r="J266" s="32">
        <v>0.0</v>
      </c>
      <c r="K266" s="31">
        <v>0.0</v>
      </c>
      <c r="L266" s="1"/>
    </row>
    <row r="267">
      <c r="A267" s="23" t="s">
        <v>774</v>
      </c>
      <c r="B267" s="17" t="s">
        <v>2061</v>
      </c>
      <c r="C267" s="25">
        <f>VLOOKUP(A267,'Hoja 2'!A:C,3,0)</f>
        <v>1</v>
      </c>
      <c r="D267" s="25" t="str">
        <f>VLOOKUP(A267,'Hoja 2'!A:D,4,0)</f>
        <v>Contrato 1</v>
      </c>
      <c r="E267" s="45">
        <v>0.0</v>
      </c>
      <c r="F267" s="31">
        <v>0.0</v>
      </c>
      <c r="G267" s="32">
        <v>0.0</v>
      </c>
      <c r="H267" s="46">
        <v>8000.0</v>
      </c>
      <c r="I267" s="32">
        <v>0.0</v>
      </c>
      <c r="J267" s="32">
        <v>0.0</v>
      </c>
      <c r="K267" s="31">
        <v>0.0</v>
      </c>
      <c r="L267" s="1"/>
    </row>
    <row r="268">
      <c r="A268" s="23" t="s">
        <v>870</v>
      </c>
      <c r="B268" s="17" t="s">
        <v>2062</v>
      </c>
      <c r="C268" s="25">
        <f>VLOOKUP(A268,'Hoja 2'!A:C,3,0)</f>
        <v>1</v>
      </c>
      <c r="D268" s="25" t="str">
        <f>VLOOKUP(A268,'Hoja 2'!A:D,4,0)</f>
        <v>Contrato 1</v>
      </c>
      <c r="E268" s="45">
        <v>0.0</v>
      </c>
      <c r="F268" s="31">
        <v>0.0</v>
      </c>
      <c r="G268" s="32">
        <v>0.0</v>
      </c>
      <c r="H268" s="46">
        <v>0.0</v>
      </c>
      <c r="I268" s="32">
        <v>0.0</v>
      </c>
      <c r="J268" s="32">
        <v>0.0</v>
      </c>
      <c r="K268" s="31">
        <v>0.0</v>
      </c>
      <c r="L268" s="1"/>
    </row>
    <row r="269">
      <c r="A269" s="23" t="s">
        <v>874</v>
      </c>
      <c r="B269" s="17" t="s">
        <v>2063</v>
      </c>
      <c r="C269" s="25">
        <f>VLOOKUP(A269,'Hoja 2'!A:C,3,0)</f>
        <v>1</v>
      </c>
      <c r="D269" s="25" t="str">
        <f>VLOOKUP(A269,'Hoja 2'!A:D,4,0)</f>
        <v>Contrato 1</v>
      </c>
      <c r="E269" s="45">
        <v>0.0</v>
      </c>
      <c r="F269" s="31">
        <v>0.0</v>
      </c>
      <c r="G269" s="32">
        <v>0.0</v>
      </c>
      <c r="H269" s="46">
        <v>0.0</v>
      </c>
      <c r="I269" s="32">
        <v>0.0</v>
      </c>
      <c r="J269" s="32">
        <v>0.0</v>
      </c>
      <c r="K269" s="31">
        <v>0.0</v>
      </c>
      <c r="L269" s="1"/>
    </row>
    <row r="270">
      <c r="A270" s="23" t="s">
        <v>888</v>
      </c>
      <c r="B270" s="17" t="s">
        <v>2064</v>
      </c>
      <c r="C270" s="25">
        <f>VLOOKUP(A270,'Hoja 2'!A:C,3,0)</f>
        <v>1</v>
      </c>
      <c r="D270" s="25" t="str">
        <f>VLOOKUP(A270,'Hoja 2'!A:D,4,0)</f>
        <v>Contrato 1</v>
      </c>
      <c r="E270" s="45">
        <v>0.0</v>
      </c>
      <c r="F270" s="31">
        <v>0.0</v>
      </c>
      <c r="G270" s="32">
        <v>0.0</v>
      </c>
      <c r="H270" s="46">
        <v>17000.0</v>
      </c>
      <c r="I270" s="32">
        <v>0.0</v>
      </c>
      <c r="J270" s="32">
        <v>0.0</v>
      </c>
      <c r="K270" s="31">
        <v>0.0</v>
      </c>
      <c r="L270" s="1"/>
    </row>
    <row r="271">
      <c r="A271" s="23" t="s">
        <v>908</v>
      </c>
      <c r="B271" s="17" t="s">
        <v>2065</v>
      </c>
      <c r="C271" s="25">
        <f>VLOOKUP(A271,'Hoja 2'!A:C,3,0)</f>
        <v>1</v>
      </c>
      <c r="D271" s="25" t="str">
        <f>VLOOKUP(A271,'Hoja 2'!A:D,4,0)</f>
        <v>Contrato 1</v>
      </c>
      <c r="E271" s="45">
        <v>0.0</v>
      </c>
      <c r="F271" s="31">
        <v>0.0</v>
      </c>
      <c r="G271" s="32">
        <v>0.0</v>
      </c>
      <c r="H271" s="46">
        <v>0.0</v>
      </c>
      <c r="I271" s="32">
        <v>0.0</v>
      </c>
      <c r="J271" s="32">
        <v>0.0</v>
      </c>
      <c r="K271" s="31">
        <v>0.0</v>
      </c>
      <c r="L271" s="1"/>
    </row>
    <row r="272">
      <c r="A272" s="23" t="s">
        <v>938</v>
      </c>
      <c r="B272" s="17" t="s">
        <v>2066</v>
      </c>
      <c r="C272" s="25">
        <f>VLOOKUP(A272,'Hoja 2'!A:C,3,0)</f>
        <v>1</v>
      </c>
      <c r="D272" s="25" t="str">
        <f>VLOOKUP(A272,'Hoja 2'!A:D,4,0)</f>
        <v>Contrato 1</v>
      </c>
      <c r="E272" s="45">
        <v>0.0</v>
      </c>
      <c r="F272" s="31">
        <v>0.0</v>
      </c>
      <c r="G272" s="32">
        <v>0.0</v>
      </c>
      <c r="H272" s="46">
        <v>0.0</v>
      </c>
      <c r="I272" s="32">
        <v>0.0</v>
      </c>
      <c r="J272" s="32">
        <v>0.0</v>
      </c>
      <c r="K272" s="31">
        <v>0.0</v>
      </c>
      <c r="L272" s="1"/>
    </row>
    <row r="273">
      <c r="A273" s="23" t="s">
        <v>948</v>
      </c>
      <c r="B273" s="17" t="s">
        <v>2067</v>
      </c>
      <c r="C273" s="25">
        <f>VLOOKUP(A273,'Hoja 2'!A:C,3,0)</f>
        <v>1</v>
      </c>
      <c r="D273" s="25" t="str">
        <f>VLOOKUP(A273,'Hoja 2'!A:D,4,0)</f>
        <v>Contrato 1</v>
      </c>
      <c r="E273" s="45">
        <v>0.0</v>
      </c>
      <c r="F273" s="31">
        <v>0.0</v>
      </c>
      <c r="G273" s="32">
        <v>0.0</v>
      </c>
      <c r="H273" s="46">
        <v>0.0</v>
      </c>
      <c r="I273" s="32">
        <v>0.0</v>
      </c>
      <c r="J273" s="32">
        <v>0.0</v>
      </c>
      <c r="K273" s="31">
        <v>0.0</v>
      </c>
      <c r="L273" s="1"/>
    </row>
    <row r="274">
      <c r="A274" s="23" t="s">
        <v>978</v>
      </c>
      <c r="B274" s="17" t="s">
        <v>2068</v>
      </c>
      <c r="C274" s="25">
        <f>VLOOKUP(A274,'Hoja 2'!A:C,3,0)</f>
        <v>1</v>
      </c>
      <c r="D274" s="25" t="str">
        <f>VLOOKUP(A274,'Hoja 2'!A:D,4,0)</f>
        <v>Contrato 1</v>
      </c>
      <c r="E274" s="45">
        <v>0.0</v>
      </c>
      <c r="F274" s="31">
        <v>0.0</v>
      </c>
      <c r="G274" s="32">
        <v>0.0</v>
      </c>
      <c r="H274" s="46">
        <v>0.0</v>
      </c>
      <c r="I274" s="32">
        <v>0.0</v>
      </c>
      <c r="J274" s="32">
        <v>0.0</v>
      </c>
      <c r="K274" s="31">
        <v>0.0</v>
      </c>
      <c r="L274" s="1"/>
    </row>
    <row r="275">
      <c r="A275" s="23" t="s">
        <v>1037</v>
      </c>
      <c r="B275" s="17" t="s">
        <v>2069</v>
      </c>
      <c r="C275" s="25">
        <f>VLOOKUP(A275,'Hoja 2'!A:C,3,0)</f>
        <v>1</v>
      </c>
      <c r="D275" s="25" t="str">
        <f>VLOOKUP(A275,'Hoja 2'!A:D,4,0)</f>
        <v>CONTRATO 1</v>
      </c>
      <c r="E275" s="45">
        <v>0.0</v>
      </c>
      <c r="F275" s="31">
        <v>0.0</v>
      </c>
      <c r="G275" s="32">
        <v>0.0</v>
      </c>
      <c r="H275" s="46">
        <v>0.0</v>
      </c>
      <c r="I275" s="32">
        <v>0.0</v>
      </c>
      <c r="J275" s="32">
        <v>0.0</v>
      </c>
      <c r="K275" s="31">
        <v>0.0</v>
      </c>
      <c r="L275" s="1"/>
    </row>
    <row r="276">
      <c r="A276" s="23" t="s">
        <v>1042</v>
      </c>
      <c r="B276" s="17" t="s">
        <v>2070</v>
      </c>
      <c r="C276" s="25">
        <f>VLOOKUP(A276,'Hoja 2'!A:C,3,0)</f>
        <v>1</v>
      </c>
      <c r="D276" s="25" t="str">
        <f>VLOOKUP(A276,'Hoja 2'!A:D,4,0)</f>
        <v>Contrato 1</v>
      </c>
      <c r="E276" s="45">
        <v>0.0</v>
      </c>
      <c r="F276" s="31">
        <v>0.0</v>
      </c>
      <c r="G276" s="32">
        <v>0.0</v>
      </c>
      <c r="H276" s="46">
        <v>0.0</v>
      </c>
      <c r="I276" s="32">
        <v>0.0</v>
      </c>
      <c r="J276" s="32">
        <v>0.0</v>
      </c>
      <c r="K276" s="31">
        <v>0.0</v>
      </c>
      <c r="L276" s="1"/>
    </row>
    <row r="277">
      <c r="A277" s="23" t="s">
        <v>1048</v>
      </c>
      <c r="B277" s="17" t="s">
        <v>2071</v>
      </c>
      <c r="C277" s="25">
        <f>VLOOKUP(A277,'Hoja 2'!A:C,3,0)</f>
        <v>1</v>
      </c>
      <c r="D277" s="25" t="str">
        <f>VLOOKUP(A277,'Hoja 2'!A:D,4,0)</f>
        <v>Contrato 1</v>
      </c>
      <c r="E277" s="45">
        <v>0.0</v>
      </c>
      <c r="F277" s="31">
        <v>0.0</v>
      </c>
      <c r="G277" s="32">
        <v>0.0</v>
      </c>
      <c r="H277" s="46">
        <v>34000.0</v>
      </c>
      <c r="I277" s="32">
        <v>0.0</v>
      </c>
      <c r="J277" s="32">
        <v>0.0</v>
      </c>
      <c r="K277" s="31">
        <v>0.0</v>
      </c>
      <c r="L277" s="1"/>
    </row>
    <row r="278">
      <c r="A278" s="23" t="s">
        <v>1057</v>
      </c>
      <c r="B278" s="17" t="s">
        <v>2072</v>
      </c>
      <c r="C278" s="25">
        <f>VLOOKUP(A278,'Hoja 2'!A:C,3,0)</f>
        <v>1</v>
      </c>
      <c r="D278" s="25" t="str">
        <f>VLOOKUP(A278,'Hoja 2'!A:D,4,0)</f>
        <v>Contrato 1</v>
      </c>
      <c r="E278" s="45">
        <v>0.0</v>
      </c>
      <c r="F278" s="31">
        <v>0.0</v>
      </c>
      <c r="G278" s="32">
        <v>0.0</v>
      </c>
      <c r="H278" s="46">
        <v>34000.0</v>
      </c>
      <c r="I278" s="32">
        <v>0.0</v>
      </c>
      <c r="J278" s="32">
        <v>0.0</v>
      </c>
      <c r="K278" s="31">
        <v>0.0</v>
      </c>
      <c r="L278" s="1"/>
    </row>
    <row r="279">
      <c r="A279" s="23" t="s">
        <v>1075</v>
      </c>
      <c r="B279" s="17" t="s">
        <v>2073</v>
      </c>
      <c r="C279" s="25">
        <f>VLOOKUP(A279,'Hoja 2'!A:C,3,0)</f>
        <v>1</v>
      </c>
      <c r="D279" s="25" t="str">
        <f>VLOOKUP(A279,'Hoja 2'!A:D,4,0)</f>
        <v>Contrato 1</v>
      </c>
      <c r="E279" s="45">
        <v>0.0</v>
      </c>
      <c r="F279" s="31">
        <v>0.0</v>
      </c>
      <c r="G279" s="32">
        <v>0.0</v>
      </c>
      <c r="H279" s="46">
        <v>0.0</v>
      </c>
      <c r="I279" s="32">
        <v>0.0</v>
      </c>
      <c r="J279" s="32">
        <v>0.0</v>
      </c>
      <c r="K279" s="31">
        <v>0.0</v>
      </c>
      <c r="L279" s="1"/>
    </row>
    <row r="280">
      <c r="A280" s="23" t="s">
        <v>1082</v>
      </c>
      <c r="B280" s="17" t="s">
        <v>2074</v>
      </c>
      <c r="C280" s="25">
        <f>VLOOKUP(A280,'Hoja 2'!A:C,3,0)</f>
        <v>1</v>
      </c>
      <c r="D280" s="25" t="str">
        <f>VLOOKUP(A280,'Hoja 2'!A:D,4,0)</f>
        <v>Contrato 1</v>
      </c>
      <c r="E280" s="45">
        <v>0.0</v>
      </c>
      <c r="F280" s="31">
        <v>0.0</v>
      </c>
      <c r="G280" s="32">
        <v>0.0</v>
      </c>
      <c r="H280" s="46">
        <v>0.0</v>
      </c>
      <c r="I280" s="32">
        <v>0.0</v>
      </c>
      <c r="J280" s="32">
        <v>0.0</v>
      </c>
      <c r="K280" s="31">
        <v>0.0</v>
      </c>
      <c r="L280" s="1"/>
    </row>
    <row r="281">
      <c r="A281" s="23" t="s">
        <v>1162</v>
      </c>
      <c r="B281" s="17" t="s">
        <v>2075</v>
      </c>
      <c r="C281" s="25">
        <f>VLOOKUP(A281,'Hoja 2'!A:C,3,0)</f>
        <v>1</v>
      </c>
      <c r="D281" s="25" t="str">
        <f>VLOOKUP(A281,'Hoja 2'!A:D,4,0)</f>
        <v>Contrato 1</v>
      </c>
      <c r="E281" s="45">
        <v>0.0</v>
      </c>
      <c r="F281" s="31">
        <v>0.0</v>
      </c>
      <c r="G281" s="32">
        <v>0.0</v>
      </c>
      <c r="H281" s="46">
        <v>0.0</v>
      </c>
      <c r="I281" s="32">
        <v>0.0</v>
      </c>
      <c r="J281" s="32">
        <v>0.0</v>
      </c>
      <c r="K281" s="31">
        <v>0.0</v>
      </c>
      <c r="L281" s="1"/>
    </row>
    <row r="282">
      <c r="A282" s="23" t="s">
        <v>1166</v>
      </c>
      <c r="B282" s="17" t="s">
        <v>2076</v>
      </c>
      <c r="C282" s="25">
        <f>VLOOKUP(A282,'Hoja 2'!A:C,3,0)</f>
        <v>1</v>
      </c>
      <c r="D282" s="25" t="str">
        <f>VLOOKUP(A282,'Hoja 2'!A:D,4,0)</f>
        <v>Contrato 1</v>
      </c>
      <c r="E282" s="45">
        <v>0.0</v>
      </c>
      <c r="F282" s="31">
        <v>0.0</v>
      </c>
      <c r="G282" s="32">
        <v>0.0</v>
      </c>
      <c r="H282" s="46">
        <v>0.0</v>
      </c>
      <c r="I282" s="32">
        <v>0.0</v>
      </c>
      <c r="J282" s="32">
        <v>0.0</v>
      </c>
      <c r="K282" s="31">
        <v>0.0</v>
      </c>
      <c r="L282" s="1"/>
    </row>
    <row r="283">
      <c r="A283" s="23" t="s">
        <v>1182</v>
      </c>
      <c r="B283" s="17" t="s">
        <v>2077</v>
      </c>
      <c r="C283" s="25">
        <f>VLOOKUP(A283,'Hoja 2'!A:C,3,0)</f>
        <v>1</v>
      </c>
      <c r="D283" s="25" t="str">
        <f>VLOOKUP(A283,'Hoja 2'!A:D,4,0)</f>
        <v>Contrato 1</v>
      </c>
      <c r="E283" s="45">
        <v>0.0</v>
      </c>
      <c r="F283" s="31">
        <v>0.0</v>
      </c>
      <c r="G283" s="32">
        <v>0.0</v>
      </c>
      <c r="H283" s="46">
        <v>0.0</v>
      </c>
      <c r="I283" s="32">
        <v>0.0</v>
      </c>
      <c r="J283" s="32">
        <v>0.0</v>
      </c>
      <c r="K283" s="31">
        <v>0.0</v>
      </c>
      <c r="L283" s="1"/>
    </row>
    <row r="284">
      <c r="A284" s="23" t="s">
        <v>1233</v>
      </c>
      <c r="B284" s="17" t="s">
        <v>2078</v>
      </c>
      <c r="C284" s="25">
        <f>VLOOKUP(A284,'Hoja 2'!A:C,3,0)</f>
        <v>1</v>
      </c>
      <c r="D284" s="25" t="str">
        <f>VLOOKUP(A284,'Hoja 2'!A:D,4,0)</f>
        <v>Contrato 1</v>
      </c>
      <c r="E284" s="45">
        <v>0.0</v>
      </c>
      <c r="F284" s="31">
        <v>0.0</v>
      </c>
      <c r="G284" s="32">
        <v>0.0</v>
      </c>
      <c r="H284" s="46">
        <v>17000.0</v>
      </c>
      <c r="I284" s="32">
        <v>0.0</v>
      </c>
      <c r="J284" s="32">
        <v>0.0</v>
      </c>
      <c r="K284" s="31">
        <v>0.0</v>
      </c>
      <c r="L284" s="1"/>
    </row>
    <row r="285">
      <c r="A285" s="23" t="s">
        <v>1237</v>
      </c>
      <c r="B285" s="17" t="s">
        <v>2079</v>
      </c>
      <c r="C285" s="25">
        <f>VLOOKUP(A285,'Hoja 2'!A:C,3,0)</f>
        <v>1</v>
      </c>
      <c r="D285" s="25" t="str">
        <f>VLOOKUP(A285,'Hoja 2'!A:D,4,0)</f>
        <v>Contrato 1</v>
      </c>
      <c r="E285" s="45">
        <v>0.0</v>
      </c>
      <c r="F285" s="31">
        <v>0.0</v>
      </c>
      <c r="G285" s="30">
        <v>0.0</v>
      </c>
      <c r="H285" s="46">
        <v>34000.0</v>
      </c>
      <c r="I285" s="30">
        <v>0.0</v>
      </c>
      <c r="J285" s="30">
        <v>0.0</v>
      </c>
      <c r="K285" s="31">
        <v>0.0</v>
      </c>
      <c r="L285" s="1"/>
    </row>
    <row r="286">
      <c r="A286" s="23" t="s">
        <v>1302</v>
      </c>
      <c r="B286" s="17" t="s">
        <v>2080</v>
      </c>
      <c r="C286" s="25">
        <f>VLOOKUP(A286,'Hoja 2'!A:C,3,0)</f>
        <v>1</v>
      </c>
      <c r="D286" s="25" t="str">
        <f>VLOOKUP(A286,'Hoja 2'!A:D,4,0)</f>
        <v>Contrato 1</v>
      </c>
      <c r="E286" s="45">
        <v>0.0</v>
      </c>
      <c r="F286" s="31">
        <v>0.0</v>
      </c>
      <c r="G286" s="30">
        <v>0.0</v>
      </c>
      <c r="H286" s="46">
        <v>0.0</v>
      </c>
      <c r="I286" s="30">
        <v>0.0</v>
      </c>
      <c r="J286" s="30">
        <v>0.0</v>
      </c>
      <c r="K286" s="31">
        <v>0.0</v>
      </c>
      <c r="L286" s="1"/>
    </row>
    <row r="287">
      <c r="A287" s="23" t="s">
        <v>1319</v>
      </c>
      <c r="B287" s="17" t="s">
        <v>2081</v>
      </c>
      <c r="C287" s="25">
        <f>VLOOKUP(A287,'Hoja 2'!A:C,3,0)</f>
        <v>1</v>
      </c>
      <c r="D287" s="25" t="str">
        <f>VLOOKUP(A287,'Hoja 2'!A:D,4,0)</f>
        <v>CONTRATO 1</v>
      </c>
      <c r="E287" s="45">
        <v>0.0</v>
      </c>
      <c r="F287" s="31">
        <v>0.0</v>
      </c>
      <c r="G287" s="32">
        <v>0.0</v>
      </c>
      <c r="H287" s="46">
        <v>0.0</v>
      </c>
      <c r="I287" s="32">
        <v>0.0</v>
      </c>
      <c r="J287" s="32">
        <v>0.0</v>
      </c>
      <c r="K287" s="31">
        <v>0.0</v>
      </c>
      <c r="L287" s="1"/>
    </row>
    <row r="288">
      <c r="A288" s="23" t="s">
        <v>1328</v>
      </c>
      <c r="B288" s="17" t="s">
        <v>2082</v>
      </c>
      <c r="C288" s="25">
        <f>VLOOKUP(A288,'Hoja 2'!A:C,3,0)</f>
        <v>1</v>
      </c>
      <c r="D288" s="25" t="str">
        <f>VLOOKUP(A288,'Hoja 2'!A:D,4,0)</f>
        <v>Contrato 1</v>
      </c>
      <c r="E288" s="45">
        <v>0.0</v>
      </c>
      <c r="F288" s="31">
        <v>0.0</v>
      </c>
      <c r="G288" s="32">
        <v>0.0</v>
      </c>
      <c r="H288" s="46">
        <v>0.0</v>
      </c>
      <c r="I288" s="32">
        <v>0.0</v>
      </c>
      <c r="J288" s="32">
        <v>0.0</v>
      </c>
      <c r="K288" s="31">
        <v>0.0</v>
      </c>
      <c r="L288" s="1"/>
    </row>
    <row r="289">
      <c r="A289" s="23" t="s">
        <v>1395</v>
      </c>
      <c r="B289" s="17" t="s">
        <v>2083</v>
      </c>
      <c r="C289" s="25">
        <f>VLOOKUP(A289,'Hoja 2'!A:C,3,0)</f>
        <v>1</v>
      </c>
      <c r="D289" s="25" t="str">
        <f>VLOOKUP(A289,'Hoja 2'!A:D,4,0)</f>
        <v>Contrato Manipuladora</v>
      </c>
      <c r="E289" s="45">
        <v>0.0</v>
      </c>
      <c r="F289" s="31">
        <v>0.0</v>
      </c>
      <c r="G289" s="32">
        <v>0.0</v>
      </c>
      <c r="H289" s="46">
        <v>0.0</v>
      </c>
      <c r="I289" s="32">
        <v>0.0</v>
      </c>
      <c r="J289" s="32">
        <v>0.0</v>
      </c>
      <c r="K289" s="31">
        <v>0.0</v>
      </c>
      <c r="L289" s="1"/>
    </row>
    <row r="290">
      <c r="A290" s="23" t="s">
        <v>1443</v>
      </c>
      <c r="B290" s="17" t="s">
        <v>2084</v>
      </c>
      <c r="C290" s="25">
        <f>VLOOKUP(A290,'Hoja 2'!A:C,3,0)</f>
        <v>1</v>
      </c>
      <c r="D290" s="25" t="str">
        <f>VLOOKUP(A290,'Hoja 2'!A:D,4,0)</f>
        <v>Contrato 1</v>
      </c>
      <c r="E290" s="45">
        <v>0.0</v>
      </c>
      <c r="F290" s="31">
        <v>0.0</v>
      </c>
      <c r="G290" s="32">
        <v>0.0</v>
      </c>
      <c r="H290" s="46">
        <v>0.0</v>
      </c>
      <c r="I290" s="32">
        <v>0.0</v>
      </c>
      <c r="J290" s="32">
        <v>0.0</v>
      </c>
      <c r="K290" s="31">
        <v>0.0</v>
      </c>
      <c r="L290" s="1"/>
    </row>
    <row r="291">
      <c r="A291" s="23" t="s">
        <v>1479</v>
      </c>
      <c r="B291" s="17" t="s">
        <v>2085</v>
      </c>
      <c r="C291" s="25">
        <f>VLOOKUP(A291,'Hoja 2'!A:C,3,0)</f>
        <v>1</v>
      </c>
      <c r="D291" s="25" t="str">
        <f>VLOOKUP(A291,'Hoja 2'!A:D,4,0)</f>
        <v>Contrato 1</v>
      </c>
      <c r="E291" s="45">
        <v>0.0</v>
      </c>
      <c r="F291" s="31">
        <v>0.0</v>
      </c>
      <c r="G291" s="32">
        <v>0.0</v>
      </c>
      <c r="H291" s="46">
        <v>0.0</v>
      </c>
      <c r="I291" s="32">
        <v>0.0</v>
      </c>
      <c r="J291" s="32">
        <v>0.0</v>
      </c>
      <c r="K291" s="31">
        <v>0.0</v>
      </c>
      <c r="L291" s="1"/>
    </row>
    <row r="292">
      <c r="A292" s="23" t="s">
        <v>1513</v>
      </c>
      <c r="B292" s="17" t="s">
        <v>2086</v>
      </c>
      <c r="C292" s="25">
        <f>VLOOKUP(A292,'Hoja 2'!A:C,3,0)</f>
        <v>2</v>
      </c>
      <c r="D292" s="25" t="str">
        <f>VLOOKUP(A292,'Hoja 2'!A:D,4,0)</f>
        <v>Contrato Manipuladora 2</v>
      </c>
      <c r="E292" s="45">
        <v>0.0</v>
      </c>
      <c r="F292" s="31">
        <v>0.0</v>
      </c>
      <c r="G292" s="32">
        <v>0.0</v>
      </c>
      <c r="H292" s="46">
        <v>0.0</v>
      </c>
      <c r="I292" s="32">
        <v>0.0</v>
      </c>
      <c r="J292" s="32">
        <v>0.0</v>
      </c>
      <c r="K292" s="31">
        <v>0.0</v>
      </c>
      <c r="L292" s="1"/>
    </row>
    <row r="293">
      <c r="A293" s="23" t="s">
        <v>1589</v>
      </c>
      <c r="B293" s="17" t="s">
        <v>2087</v>
      </c>
      <c r="C293" s="25">
        <f>VLOOKUP(A293,'Hoja 2'!A:C,3,0)</f>
        <v>1</v>
      </c>
      <c r="D293" s="25" t="str">
        <f>VLOOKUP(A293,'Hoja 2'!A:D,4,0)</f>
        <v>Contrato 1</v>
      </c>
      <c r="E293" s="45">
        <v>0.0</v>
      </c>
      <c r="F293" s="31">
        <v>0.0</v>
      </c>
      <c r="G293" s="32">
        <v>0.0</v>
      </c>
      <c r="H293" s="46">
        <v>0.0</v>
      </c>
      <c r="I293" s="32">
        <v>0.0</v>
      </c>
      <c r="J293" s="32">
        <v>0.0</v>
      </c>
      <c r="K293" s="31">
        <v>0.0</v>
      </c>
      <c r="L293" s="1"/>
    </row>
    <row r="294">
      <c r="A294" s="23" t="s">
        <v>1623</v>
      </c>
      <c r="B294" s="17" t="s">
        <v>2088</v>
      </c>
      <c r="C294" s="25">
        <f>VLOOKUP(A294,'Hoja 2'!A:C,3,0)</f>
        <v>1</v>
      </c>
      <c r="D294" s="25" t="str">
        <f>VLOOKUP(A294,'Hoja 2'!A:D,4,0)</f>
        <v>Contrato 1</v>
      </c>
      <c r="E294" s="45">
        <v>0.0</v>
      </c>
      <c r="F294" s="31">
        <v>0.0</v>
      </c>
      <c r="G294" s="32">
        <v>0.0</v>
      </c>
      <c r="H294" s="46">
        <v>0.0</v>
      </c>
      <c r="I294" s="32">
        <v>0.0</v>
      </c>
      <c r="J294" s="32">
        <v>0.0</v>
      </c>
      <c r="K294" s="31">
        <v>0.0</v>
      </c>
      <c r="L294" s="1"/>
    </row>
    <row r="295">
      <c r="A295" s="23" t="s">
        <v>1637</v>
      </c>
      <c r="B295" s="17" t="s">
        <v>2089</v>
      </c>
      <c r="C295" s="25">
        <f>VLOOKUP(A295,'Hoja 2'!A:C,3,0)</f>
        <v>1</v>
      </c>
      <c r="D295" s="25" t="str">
        <f>VLOOKUP(A295,'Hoja 2'!A:D,4,0)</f>
        <v>Contrato 1</v>
      </c>
      <c r="E295" s="45">
        <v>0.0</v>
      </c>
      <c r="F295" s="31">
        <v>0.0</v>
      </c>
      <c r="G295" s="32">
        <v>0.0</v>
      </c>
      <c r="H295" s="46">
        <v>0.0</v>
      </c>
      <c r="I295" s="32">
        <v>0.0</v>
      </c>
      <c r="J295" s="32">
        <v>0.0</v>
      </c>
      <c r="K295" s="31">
        <v>0.0</v>
      </c>
      <c r="L295" s="1"/>
    </row>
    <row r="296">
      <c r="A296" s="23" t="s">
        <v>1657</v>
      </c>
      <c r="B296" s="17" t="s">
        <v>2090</v>
      </c>
      <c r="C296" s="25">
        <f>VLOOKUP(A296,'Hoja 2'!A:C,3,0)</f>
        <v>1</v>
      </c>
      <c r="D296" s="25" t="str">
        <f>VLOOKUP(A296,'Hoja 2'!A:D,4,0)</f>
        <v>Contrato 1</v>
      </c>
      <c r="E296" s="45">
        <v>0.0</v>
      </c>
      <c r="F296" s="31">
        <v>0.0</v>
      </c>
      <c r="G296" s="32">
        <v>0.0</v>
      </c>
      <c r="H296" s="46">
        <v>0.0</v>
      </c>
      <c r="I296" s="32">
        <v>0.0</v>
      </c>
      <c r="J296" s="32">
        <v>0.0</v>
      </c>
      <c r="K296" s="31">
        <v>0.0</v>
      </c>
      <c r="L296" s="1"/>
    </row>
    <row r="297">
      <c r="A297" s="23" t="s">
        <v>1755</v>
      </c>
      <c r="B297" s="17" t="s">
        <v>2091</v>
      </c>
      <c r="C297" s="25">
        <f>VLOOKUP(A297,'Hoja 2'!A:C,3,0)</f>
        <v>1</v>
      </c>
      <c r="D297" s="25" t="str">
        <f>VLOOKUP(A297,'Hoja 2'!A:D,4,0)</f>
        <v>Contrato 1</v>
      </c>
      <c r="E297" s="45">
        <v>0.0</v>
      </c>
      <c r="F297" s="31">
        <v>0.0</v>
      </c>
      <c r="G297" s="32">
        <v>0.0</v>
      </c>
      <c r="H297" s="46">
        <v>0.0</v>
      </c>
      <c r="I297" s="32">
        <v>0.0</v>
      </c>
      <c r="J297" s="32">
        <v>0.0</v>
      </c>
      <c r="K297" s="31">
        <v>0.0</v>
      </c>
      <c r="L297" s="1"/>
    </row>
    <row r="298">
      <c r="A298" s="23" t="s">
        <v>1758</v>
      </c>
      <c r="B298" s="17" t="s">
        <v>2092</v>
      </c>
      <c r="C298" s="25">
        <f>VLOOKUP(A298,'Hoja 2'!A:C,3,0)</f>
        <v>1</v>
      </c>
      <c r="D298" s="25" t="str">
        <f>VLOOKUP(A298,'Hoja 2'!A:D,4,0)</f>
        <v>Contrato 1</v>
      </c>
      <c r="E298" s="45">
        <v>0.0</v>
      </c>
      <c r="F298" s="31">
        <v>0.0</v>
      </c>
      <c r="G298" s="32">
        <v>0.0</v>
      </c>
      <c r="H298" s="46">
        <v>0.0</v>
      </c>
      <c r="I298" s="32">
        <v>0.0</v>
      </c>
      <c r="J298" s="32">
        <v>0.0</v>
      </c>
      <c r="K298" s="31">
        <v>0.0</v>
      </c>
      <c r="L298" s="1"/>
    </row>
    <row r="299">
      <c r="A299" s="23" t="s">
        <v>1783</v>
      </c>
      <c r="B299" s="17" t="s">
        <v>2093</v>
      </c>
      <c r="C299" s="25">
        <f>VLOOKUP(A299,'Hoja 2'!A:C,3,0)</f>
        <v>1</v>
      </c>
      <c r="D299" s="25" t="str">
        <f>VLOOKUP(A299,'Hoja 2'!A:D,4,0)</f>
        <v>Contrato 1</v>
      </c>
      <c r="E299" s="45">
        <v>0.0</v>
      </c>
      <c r="F299" s="31">
        <v>0.0</v>
      </c>
      <c r="G299" s="32">
        <v>0.0</v>
      </c>
      <c r="H299" s="46">
        <v>0.0</v>
      </c>
      <c r="I299" s="32">
        <v>0.0</v>
      </c>
      <c r="J299" s="32">
        <v>0.0</v>
      </c>
      <c r="K299" s="31">
        <v>0.0</v>
      </c>
      <c r="L299" s="1"/>
    </row>
    <row r="300">
      <c r="A300" s="23" t="s">
        <v>1790</v>
      </c>
      <c r="B300" s="17" t="s">
        <v>2094</v>
      </c>
      <c r="C300" s="25">
        <f>VLOOKUP(A300,'Hoja 2'!A:C,3,0)</f>
        <v>1</v>
      </c>
      <c r="D300" s="25" t="str">
        <f>VLOOKUP(A300,'Hoja 2'!A:D,4,0)</f>
        <v>Contrato 1</v>
      </c>
      <c r="E300" s="45">
        <v>0.0</v>
      </c>
      <c r="F300" s="31">
        <v>0.0</v>
      </c>
      <c r="G300" s="32">
        <v>0.0</v>
      </c>
      <c r="H300" s="46">
        <v>0.0</v>
      </c>
      <c r="I300" s="32">
        <v>0.0</v>
      </c>
      <c r="J300" s="32">
        <v>0.0</v>
      </c>
      <c r="K300" s="31">
        <v>0.0</v>
      </c>
      <c r="L300" s="1"/>
    </row>
    <row r="301">
      <c r="A301" s="23" t="s">
        <v>1794</v>
      </c>
      <c r="B301" s="17" t="s">
        <v>2095</v>
      </c>
      <c r="C301" s="25">
        <f>VLOOKUP(A301,'Hoja 2'!A:C,3,0)</f>
        <v>1</v>
      </c>
      <c r="D301" s="25" t="str">
        <f>VLOOKUP(A301,'Hoja 2'!A:D,4,0)</f>
        <v>Contrato 1</v>
      </c>
      <c r="E301" s="45">
        <v>0.0</v>
      </c>
      <c r="F301" s="31">
        <v>0.0</v>
      </c>
      <c r="G301" s="32">
        <v>0.0</v>
      </c>
      <c r="H301" s="46">
        <v>0.0</v>
      </c>
      <c r="I301" s="32">
        <v>0.0</v>
      </c>
      <c r="J301" s="32">
        <v>0.0</v>
      </c>
      <c r="K301" s="31">
        <v>5000.0</v>
      </c>
      <c r="L301" s="1"/>
    </row>
    <row r="302">
      <c r="A302" s="23" t="s">
        <v>1797</v>
      </c>
      <c r="B302" s="17" t="s">
        <v>2096</v>
      </c>
      <c r="C302" s="25">
        <f>VLOOKUP(A302,'Hoja 2'!A:C,3,0)</f>
        <v>1</v>
      </c>
      <c r="D302" s="25" t="str">
        <f>VLOOKUP(A302,'Hoja 2'!A:D,4,0)</f>
        <v>Contrato 1</v>
      </c>
      <c r="E302" s="45">
        <v>0.0</v>
      </c>
      <c r="F302" s="31">
        <v>0.0</v>
      </c>
      <c r="G302" s="32">
        <v>0.0</v>
      </c>
      <c r="H302" s="46">
        <v>0.0</v>
      </c>
      <c r="I302" s="32">
        <v>0.0</v>
      </c>
      <c r="J302" s="32">
        <v>0.0</v>
      </c>
      <c r="K302" s="31">
        <v>0.0</v>
      </c>
      <c r="L302" s="1"/>
    </row>
    <row r="303">
      <c r="A303" s="23" t="s">
        <v>1825</v>
      </c>
      <c r="B303" s="17" t="s">
        <v>2097</v>
      </c>
      <c r="C303" s="25">
        <f>VLOOKUP(A303,'Hoja 2'!A:C,3,0)</f>
        <v>1</v>
      </c>
      <c r="D303" s="25" t="str">
        <f>VLOOKUP(A303,'Hoja 2'!A:D,4,0)</f>
        <v>Contrato 1</v>
      </c>
      <c r="E303" s="45">
        <v>0.0</v>
      </c>
      <c r="F303" s="31">
        <v>0.0</v>
      </c>
      <c r="G303" s="32">
        <v>0.0</v>
      </c>
      <c r="H303" s="46">
        <v>0.0</v>
      </c>
      <c r="I303" s="32">
        <v>0.0</v>
      </c>
      <c r="J303" s="32">
        <v>0.0</v>
      </c>
      <c r="K303" s="31">
        <v>0.0</v>
      </c>
      <c r="L303" s="1"/>
    </row>
    <row r="304">
      <c r="A304" s="23" t="s">
        <v>1851</v>
      </c>
      <c r="B304" s="17" t="s">
        <v>2098</v>
      </c>
      <c r="C304" s="25">
        <f>VLOOKUP(A304,'Hoja 2'!A:C,3,0)</f>
        <v>1</v>
      </c>
      <c r="D304" s="25" t="str">
        <f>VLOOKUP(A304,'Hoja 2'!A:D,4,0)</f>
        <v>Contrato 1</v>
      </c>
      <c r="E304" s="45">
        <v>0.0</v>
      </c>
      <c r="F304" s="31">
        <v>0.0</v>
      </c>
      <c r="G304" s="32">
        <v>0.0</v>
      </c>
      <c r="H304" s="46">
        <v>0.0</v>
      </c>
      <c r="I304" s="32">
        <v>0.0</v>
      </c>
      <c r="J304" s="32">
        <v>0.0</v>
      </c>
      <c r="K304" s="31">
        <v>0.0</v>
      </c>
      <c r="L304" s="1"/>
    </row>
    <row r="305">
      <c r="A305" s="23" t="s">
        <v>1860</v>
      </c>
      <c r="B305" s="17" t="s">
        <v>2099</v>
      </c>
      <c r="C305" s="25">
        <f>VLOOKUP(A305,'Hoja 2'!A:C,3,0)</f>
        <v>1</v>
      </c>
      <c r="D305" s="25" t="str">
        <f>VLOOKUP(A305,'Hoja 2'!A:D,4,0)</f>
        <v>Contrato 1</v>
      </c>
      <c r="E305" s="45">
        <v>0.0</v>
      </c>
      <c r="F305" s="31">
        <v>0.0</v>
      </c>
      <c r="G305" s="32">
        <v>0.0</v>
      </c>
      <c r="H305" s="46">
        <v>0.0</v>
      </c>
      <c r="I305" s="32">
        <v>0.0</v>
      </c>
      <c r="J305" s="32">
        <v>0.0</v>
      </c>
      <c r="K305" s="31">
        <v>5000.0</v>
      </c>
      <c r="L305" s="1"/>
    </row>
    <row r="306">
      <c r="A306" s="23" t="s">
        <v>1866</v>
      </c>
      <c r="B306" s="17" t="s">
        <v>2100</v>
      </c>
      <c r="C306" s="25">
        <f>VLOOKUP(A306,'Hoja 2'!A:C,3,0)</f>
        <v>1</v>
      </c>
      <c r="D306" s="25" t="str">
        <f>VLOOKUP(A306,'Hoja 2'!A:D,4,0)</f>
        <v>Contrato 1</v>
      </c>
      <c r="E306" s="45">
        <v>0.0</v>
      </c>
      <c r="F306" s="31">
        <v>0.0</v>
      </c>
      <c r="G306" s="32">
        <v>0.0</v>
      </c>
      <c r="H306" s="46">
        <v>0.0</v>
      </c>
      <c r="I306" s="32">
        <v>0.0</v>
      </c>
      <c r="J306" s="32">
        <v>0.0</v>
      </c>
      <c r="K306" s="31">
        <v>5000.0</v>
      </c>
      <c r="L306" s="1"/>
    </row>
    <row r="307">
      <c r="A307" s="23" t="s">
        <v>1886</v>
      </c>
      <c r="B307" s="17" t="s">
        <v>2101</v>
      </c>
      <c r="C307" s="25">
        <f>VLOOKUP(A307,'Hoja 2'!A:C,3,0)</f>
        <v>2</v>
      </c>
      <c r="D307" s="25" t="str">
        <f>VLOOKUP(A307,'Hoja 2'!A:D,4,0)</f>
        <v>Contrato 2 Kaipoki</v>
      </c>
      <c r="E307" s="45">
        <v>0.0</v>
      </c>
      <c r="F307" s="31">
        <v>0.0</v>
      </c>
      <c r="G307" s="32">
        <v>0.0</v>
      </c>
      <c r="H307" s="46">
        <v>0.0</v>
      </c>
      <c r="I307" s="32">
        <v>0.0</v>
      </c>
      <c r="J307" s="32">
        <v>0.0</v>
      </c>
      <c r="K307" s="31">
        <v>0.0</v>
      </c>
      <c r="L307" s="1"/>
    </row>
    <row r="308">
      <c r="A308" s="23" t="s">
        <v>1944</v>
      </c>
      <c r="B308" s="17" t="s">
        <v>2102</v>
      </c>
      <c r="C308" s="25">
        <f>VLOOKUP(A308,'Hoja 2'!A:C,3,0)</f>
        <v>1</v>
      </c>
      <c r="D308" s="25" t="str">
        <f>VLOOKUP(A308,'Hoja 2'!A:D,4,0)</f>
        <v>CONTRATO 1</v>
      </c>
      <c r="E308" s="45">
        <v>0.0</v>
      </c>
      <c r="F308" s="31">
        <v>0.0</v>
      </c>
      <c r="G308" s="32">
        <v>0.0</v>
      </c>
      <c r="H308" s="46">
        <v>0.0</v>
      </c>
      <c r="I308" s="32">
        <v>0.0</v>
      </c>
      <c r="J308" s="32">
        <v>0.0</v>
      </c>
      <c r="K308" s="31">
        <v>5000.0</v>
      </c>
      <c r="L308" s="1"/>
    </row>
    <row r="309">
      <c r="A309" s="23" t="s">
        <v>1283</v>
      </c>
      <c r="B309" s="17" t="s">
        <v>2103</v>
      </c>
      <c r="C309" s="25">
        <f>VLOOKUP(A309,'Hoja 2'!A:C,3,0)</f>
        <v>1</v>
      </c>
      <c r="D309" s="25" t="str">
        <f>VLOOKUP(A309,'Hoja 2'!A:D,4,0)</f>
        <v>Contrato 1</v>
      </c>
      <c r="E309" s="45">
        <v>0.0</v>
      </c>
      <c r="F309" s="31">
        <v>0.0</v>
      </c>
      <c r="G309" s="32">
        <v>0.0</v>
      </c>
      <c r="H309" s="46">
        <v>0.0</v>
      </c>
      <c r="I309" s="32">
        <v>0.0</v>
      </c>
      <c r="J309" s="32">
        <v>0.0</v>
      </c>
      <c r="K309" s="45">
        <v>5000.0</v>
      </c>
      <c r="L309" s="1" t="s">
        <v>53</v>
      </c>
    </row>
    <row r="310">
      <c r="A310" s="23" t="s">
        <v>1272</v>
      </c>
      <c r="B310" s="17" t="s">
        <v>2104</v>
      </c>
      <c r="C310" s="25">
        <f>VLOOKUP(A310,'Hoja 2'!A:C,3,0)</f>
        <v>1</v>
      </c>
      <c r="D310" s="25" t="str">
        <f>VLOOKUP(A310,'Hoja 2'!A:D,4,0)</f>
        <v>Contrato 1</v>
      </c>
      <c r="E310" s="45">
        <v>0.0</v>
      </c>
      <c r="F310" s="31">
        <v>0.0</v>
      </c>
      <c r="G310" s="32">
        <v>0.0</v>
      </c>
      <c r="H310" s="46">
        <v>0.0</v>
      </c>
      <c r="I310" s="32">
        <v>0.0</v>
      </c>
      <c r="J310" s="32">
        <v>0.0</v>
      </c>
      <c r="K310" s="31">
        <v>0.0</v>
      </c>
      <c r="L310" s="1"/>
    </row>
    <row r="311">
      <c r="A311" s="23" t="s">
        <v>640</v>
      </c>
      <c r="B311" s="17" t="s">
        <v>2105</v>
      </c>
      <c r="C311" s="25">
        <f>VLOOKUP(A311,'Hoja 2'!A:C,3,0)</f>
        <v>1</v>
      </c>
      <c r="D311" s="25" t="str">
        <f>VLOOKUP(A311,'Hoja 2'!A:D,4,0)</f>
        <v>Contrato 1</v>
      </c>
      <c r="E311" s="45">
        <v>0.0</v>
      </c>
      <c r="F311" s="31">
        <v>0.0</v>
      </c>
      <c r="G311" s="32">
        <v>0.0</v>
      </c>
      <c r="H311" s="46">
        <v>0.0</v>
      </c>
      <c r="I311" s="32">
        <v>0.0</v>
      </c>
      <c r="J311" s="32">
        <v>0.0</v>
      </c>
      <c r="K311" s="31">
        <v>0.0</v>
      </c>
      <c r="L311" s="1"/>
    </row>
    <row r="312">
      <c r="A312" s="23" t="s">
        <v>1539</v>
      </c>
      <c r="B312" s="17" t="s">
        <v>59</v>
      </c>
      <c r="C312" s="25">
        <f>VLOOKUP(A312,'Hoja 2'!A:C,3,0)</f>
        <v>1</v>
      </c>
      <c r="D312" s="25" t="str">
        <f>VLOOKUP(A312,'Hoja 2'!A:D,4,0)</f>
        <v>CONTRATO 1</v>
      </c>
      <c r="E312" s="45">
        <v>0.0</v>
      </c>
      <c r="F312" s="31">
        <v>0.0</v>
      </c>
      <c r="G312" s="32">
        <v>0.0</v>
      </c>
      <c r="H312" s="46">
        <v>0.0</v>
      </c>
      <c r="I312" s="32">
        <v>0.0</v>
      </c>
      <c r="J312" s="32">
        <v>0.0</v>
      </c>
      <c r="K312" s="31">
        <v>0.0</v>
      </c>
      <c r="L312" s="1"/>
    </row>
    <row r="313">
      <c r="A313" s="23" t="s">
        <v>385</v>
      </c>
      <c r="B313" s="17" t="s">
        <v>2106</v>
      </c>
      <c r="C313" s="25">
        <f>VLOOKUP(A313,'Hoja 2'!A:C,3,0)</f>
        <v>1</v>
      </c>
      <c r="D313" s="25" t="str">
        <f>VLOOKUP(A313,'Hoja 2'!A:D,4,0)</f>
        <v>Contrato 1</v>
      </c>
      <c r="E313" s="45">
        <v>0.0</v>
      </c>
      <c r="F313" s="31">
        <v>0.0</v>
      </c>
      <c r="G313" s="32">
        <v>0.0</v>
      </c>
      <c r="H313" s="46">
        <v>0.0</v>
      </c>
      <c r="I313" s="32">
        <v>0.0</v>
      </c>
      <c r="J313" s="32">
        <v>0.0</v>
      </c>
      <c r="K313" s="45">
        <v>5000.0</v>
      </c>
      <c r="L313" s="1" t="s">
        <v>53</v>
      </c>
    </row>
    <row r="314">
      <c r="A314" s="23" t="s">
        <v>1107</v>
      </c>
      <c r="B314" s="17" t="s">
        <v>2107</v>
      </c>
      <c r="C314" s="25">
        <f>VLOOKUP(A314,'Hoja 2'!A:C,3,0)</f>
        <v>1</v>
      </c>
      <c r="D314" s="25" t="str">
        <f>VLOOKUP(A314,'Hoja 2'!A:D,4,0)</f>
        <v>Contrato 1</v>
      </c>
      <c r="E314" s="45">
        <v>0.0</v>
      </c>
      <c r="F314" s="31">
        <v>0.0</v>
      </c>
      <c r="G314" s="32">
        <v>0.0</v>
      </c>
      <c r="H314" s="46">
        <v>0.0</v>
      </c>
      <c r="I314" s="32">
        <v>0.0</v>
      </c>
      <c r="J314" s="32">
        <v>0.0</v>
      </c>
      <c r="K314" s="45">
        <v>0.0</v>
      </c>
      <c r="L314" s="1" t="s">
        <v>53</v>
      </c>
    </row>
    <row r="315">
      <c r="A315" s="23" t="s">
        <v>1591</v>
      </c>
      <c r="B315" s="17" t="s">
        <v>2108</v>
      </c>
      <c r="C315" s="25">
        <f>VLOOKUP(A315,'Hoja 2'!A:C,3,0)</f>
        <v>1</v>
      </c>
      <c r="D315" s="25" t="str">
        <f>VLOOKUP(A315,'Hoja 2'!A:D,4,0)</f>
        <v>Contrato 1</v>
      </c>
      <c r="E315" s="45">
        <v>0.0</v>
      </c>
      <c r="F315" s="31">
        <v>0.0</v>
      </c>
      <c r="G315" s="32">
        <v>0.0</v>
      </c>
      <c r="H315" s="46">
        <v>0.0</v>
      </c>
      <c r="I315" s="32">
        <v>0.0</v>
      </c>
      <c r="J315" s="32">
        <v>0.0</v>
      </c>
      <c r="K315" s="31">
        <v>0.0</v>
      </c>
      <c r="L315" s="1"/>
    </row>
    <row r="316">
      <c r="A316" s="23" t="s">
        <v>740</v>
      </c>
      <c r="B316" s="17" t="s">
        <v>2109</v>
      </c>
      <c r="C316" s="25">
        <f>VLOOKUP(A316,'Hoja 2'!A:C,3,0)</f>
        <v>1</v>
      </c>
      <c r="D316" s="25" t="str">
        <f>VLOOKUP(A316,'Hoja 2'!A:D,4,0)</f>
        <v>Contrato Manipuladora</v>
      </c>
      <c r="E316" s="45">
        <v>0.0</v>
      </c>
      <c r="F316" s="31">
        <v>0.0</v>
      </c>
      <c r="G316" s="32">
        <v>0.0</v>
      </c>
      <c r="H316" s="46">
        <v>0.0</v>
      </c>
      <c r="I316" s="32">
        <v>0.0</v>
      </c>
      <c r="J316" s="32">
        <v>0.0</v>
      </c>
      <c r="K316" s="45">
        <v>0.0</v>
      </c>
      <c r="L316" s="1" t="s">
        <v>53</v>
      </c>
    </row>
    <row r="317">
      <c r="A317" s="23" t="s">
        <v>1276</v>
      </c>
      <c r="B317" s="17" t="s">
        <v>2110</v>
      </c>
      <c r="C317" s="25">
        <f>VLOOKUP(A317,'Hoja 2'!A:C,3,0)</f>
        <v>1</v>
      </c>
      <c r="D317" s="25" t="str">
        <f>VLOOKUP(A317,'Hoja 2'!A:D,4,0)</f>
        <v>Contrato 1</v>
      </c>
      <c r="E317" s="45">
        <v>0.0</v>
      </c>
      <c r="F317" s="31">
        <v>0.0</v>
      </c>
      <c r="G317" s="32">
        <v>0.0</v>
      </c>
      <c r="H317" s="46">
        <v>0.0</v>
      </c>
      <c r="I317" s="32">
        <v>0.0</v>
      </c>
      <c r="J317" s="32">
        <v>0.0</v>
      </c>
      <c r="K317" s="45">
        <v>0.0</v>
      </c>
      <c r="L317" s="1" t="s">
        <v>53</v>
      </c>
    </row>
    <row r="318">
      <c r="A318" s="23" t="s">
        <v>1093</v>
      </c>
      <c r="B318" s="17" t="s">
        <v>2111</v>
      </c>
      <c r="C318" s="25">
        <f>VLOOKUP(A318,'Hoja 2'!A:C,3,0)</f>
        <v>1</v>
      </c>
      <c r="D318" s="25" t="str">
        <f>VLOOKUP(A318,'Hoja 2'!A:D,4,0)</f>
        <v>Contrato 1</v>
      </c>
      <c r="E318" s="45">
        <v>0.0</v>
      </c>
      <c r="F318" s="31">
        <v>0.0</v>
      </c>
      <c r="G318" s="32">
        <v>0.0</v>
      </c>
      <c r="H318" s="46">
        <v>0.0</v>
      </c>
      <c r="I318" s="32">
        <v>0.0</v>
      </c>
      <c r="J318" s="32">
        <v>0.0</v>
      </c>
      <c r="K318" s="31">
        <v>0.0</v>
      </c>
      <c r="L318" s="1"/>
    </row>
    <row r="319">
      <c r="A319" s="23" t="s">
        <v>902</v>
      </c>
      <c r="B319" s="17" t="s">
        <v>2112</v>
      </c>
      <c r="C319" s="25">
        <f>VLOOKUP(A319,'Hoja 2'!A:C,3,0)</f>
        <v>1</v>
      </c>
      <c r="D319" s="25" t="str">
        <f>VLOOKUP(A319,'Hoja 2'!A:D,4,0)</f>
        <v>Contrato 1</v>
      </c>
      <c r="E319" s="45">
        <v>0.0</v>
      </c>
      <c r="F319" s="31">
        <v>0.0</v>
      </c>
      <c r="G319" s="32">
        <v>0.0</v>
      </c>
      <c r="H319" s="46">
        <v>0.0</v>
      </c>
      <c r="I319" s="32">
        <v>0.0</v>
      </c>
      <c r="J319" s="32">
        <v>0.0</v>
      </c>
      <c r="K319" s="31">
        <v>0.0</v>
      </c>
      <c r="L319" s="1"/>
    </row>
    <row r="320">
      <c r="A320" s="23" t="s">
        <v>1168</v>
      </c>
      <c r="B320" s="17" t="s">
        <v>2113</v>
      </c>
      <c r="C320" s="25">
        <f>VLOOKUP(A320,'Hoja 2'!A:C,3,0)</f>
        <v>1</v>
      </c>
      <c r="D320" s="25" t="str">
        <f>VLOOKUP(A320,'Hoja 2'!A:D,4,0)</f>
        <v>Contrato 1</v>
      </c>
      <c r="E320" s="45">
        <v>0.0</v>
      </c>
      <c r="F320" s="31">
        <v>0.0</v>
      </c>
      <c r="G320" s="32">
        <v>0.0</v>
      </c>
      <c r="H320" s="46">
        <v>0.0</v>
      </c>
      <c r="I320" s="32">
        <v>0.0</v>
      </c>
      <c r="J320" s="32">
        <v>0.0</v>
      </c>
      <c r="K320" s="31">
        <v>0.0</v>
      </c>
      <c r="L320" s="1"/>
    </row>
    <row r="321">
      <c r="A321" s="23" t="s">
        <v>1420</v>
      </c>
      <c r="B321" s="17" t="s">
        <v>2114</v>
      </c>
      <c r="C321" s="25">
        <f>VLOOKUP(A321,'Hoja 2'!A:C,3,0)</f>
        <v>1</v>
      </c>
      <c r="D321" s="25" t="str">
        <f>VLOOKUP(A321,'Hoja 2'!A:D,4,0)</f>
        <v>Contrato 1</v>
      </c>
      <c r="E321" s="45">
        <v>0.0</v>
      </c>
      <c r="F321" s="31">
        <v>0.0</v>
      </c>
      <c r="G321" s="32">
        <v>0.0</v>
      </c>
      <c r="H321" s="46">
        <v>0.0</v>
      </c>
      <c r="I321" s="32">
        <v>0.0</v>
      </c>
      <c r="J321" s="32">
        <v>0.0</v>
      </c>
      <c r="K321" s="45">
        <v>5000.0</v>
      </c>
      <c r="L321" s="1" t="s">
        <v>53</v>
      </c>
    </row>
    <row r="322">
      <c r="A322" s="23" t="s">
        <v>362</v>
      </c>
      <c r="B322" s="17" t="s">
        <v>2115</v>
      </c>
      <c r="C322" s="25">
        <f>VLOOKUP(A322,'Hoja 2'!A:C,3,0)</f>
        <v>1</v>
      </c>
      <c r="D322" s="25" t="str">
        <f>VLOOKUP(A322,'Hoja 2'!A:D,4,0)</f>
        <v>Contrato 1</v>
      </c>
      <c r="E322" s="45">
        <v>0.0</v>
      </c>
      <c r="F322" s="31">
        <v>0.0</v>
      </c>
      <c r="G322" s="32">
        <v>0.0</v>
      </c>
      <c r="H322" s="30">
        <v>0.0</v>
      </c>
      <c r="I322" s="32">
        <v>0.0</v>
      </c>
      <c r="J322" s="32">
        <v>0.0</v>
      </c>
      <c r="K322" s="31">
        <v>0.0</v>
      </c>
      <c r="L322" s="1"/>
    </row>
    <row r="323">
      <c r="A323" s="23" t="s">
        <v>412</v>
      </c>
      <c r="B323" s="17" t="s">
        <v>2116</v>
      </c>
      <c r="C323" s="25">
        <f>VLOOKUP(A323,'Hoja 2'!A:C,3,0)</f>
        <v>1</v>
      </c>
      <c r="D323" s="25" t="str">
        <f>VLOOKUP(A323,'Hoja 2'!A:D,4,0)</f>
        <v>Contrato 1</v>
      </c>
      <c r="E323" s="45">
        <v>0.0</v>
      </c>
      <c r="F323" s="31">
        <v>0.0</v>
      </c>
      <c r="G323" s="32">
        <v>0.0</v>
      </c>
      <c r="H323" s="30">
        <v>0.0</v>
      </c>
      <c r="I323" s="32">
        <v>0.0</v>
      </c>
      <c r="J323" s="32">
        <v>0.0</v>
      </c>
      <c r="K323" s="31">
        <v>5000.0</v>
      </c>
      <c r="L323" s="1"/>
    </row>
    <row r="324">
      <c r="A324" s="23" t="s">
        <v>1184</v>
      </c>
      <c r="B324" s="17" t="s">
        <v>2117</v>
      </c>
      <c r="C324" s="25">
        <f>VLOOKUP(A324,'Hoja 2'!A:C,3,0)</f>
        <v>1</v>
      </c>
      <c r="D324" s="25" t="str">
        <f>VLOOKUP(A324,'Hoja 2'!A:D,4,0)</f>
        <v>Contrato 1</v>
      </c>
      <c r="E324" s="45">
        <v>0.0</v>
      </c>
      <c r="F324" s="31">
        <v>0.0</v>
      </c>
      <c r="G324" s="32">
        <v>0.0</v>
      </c>
      <c r="H324" s="30">
        <v>0.0</v>
      </c>
      <c r="I324" s="32">
        <v>0.0</v>
      </c>
      <c r="J324" s="32">
        <v>0.0</v>
      </c>
      <c r="K324" s="31">
        <v>0.0</v>
      </c>
      <c r="L324" s="1"/>
    </row>
    <row r="325">
      <c r="A325" s="23" t="s">
        <v>83</v>
      </c>
      <c r="B325" s="17" t="s">
        <v>2118</v>
      </c>
      <c r="C325" s="25">
        <f>VLOOKUP(A325,'Hoja 2'!A:C,3,0)</f>
        <v>1</v>
      </c>
      <c r="D325" s="25" t="str">
        <f>VLOOKUP(A325,'Hoja 2'!A:D,4,0)</f>
        <v>Contrato 1</v>
      </c>
      <c r="E325" s="45">
        <v>0.0</v>
      </c>
      <c r="F325" s="31">
        <v>0.0</v>
      </c>
      <c r="G325" s="32">
        <v>0.0</v>
      </c>
      <c r="H325" s="30">
        <v>0.0</v>
      </c>
      <c r="I325" s="32">
        <v>0.0</v>
      </c>
      <c r="J325" s="32">
        <v>0.0</v>
      </c>
      <c r="K325" s="31">
        <v>0.0</v>
      </c>
      <c r="L325" s="1"/>
    </row>
    <row r="326">
      <c r="A326" s="23" t="s">
        <v>1753</v>
      </c>
      <c r="B326" s="17" t="s">
        <v>2119</v>
      </c>
      <c r="C326" s="25">
        <f>VLOOKUP(A326,'Hoja 2'!A:C,3,0)</f>
        <v>1</v>
      </c>
      <c r="D326" s="25" t="str">
        <f>VLOOKUP(A326,'Hoja 2'!A:D,4,0)</f>
        <v>Contrato 1</v>
      </c>
      <c r="E326" s="45">
        <v>0.0</v>
      </c>
      <c r="F326" s="31">
        <v>0.0</v>
      </c>
      <c r="G326" s="32">
        <v>0.0</v>
      </c>
      <c r="H326" s="30">
        <v>0.0</v>
      </c>
      <c r="I326" s="32">
        <v>0.0</v>
      </c>
      <c r="J326" s="32">
        <v>0.0</v>
      </c>
      <c r="K326" s="31">
        <v>5000.0</v>
      </c>
      <c r="L326" s="1"/>
    </row>
    <row r="327">
      <c r="A327" s="23" t="s">
        <v>1370</v>
      </c>
      <c r="B327" s="17" t="s">
        <v>2120</v>
      </c>
      <c r="C327" s="25">
        <f>VLOOKUP(A327,'Hoja 2'!A:C,3,0)</f>
        <v>1</v>
      </c>
      <c r="D327" s="25" t="str">
        <f>VLOOKUP(A327,'Hoja 2'!A:D,4,0)</f>
        <v>Contrato 1</v>
      </c>
      <c r="E327" s="45">
        <v>0.0</v>
      </c>
      <c r="F327" s="31">
        <v>0.0</v>
      </c>
      <c r="G327" s="32">
        <v>0.0</v>
      </c>
      <c r="H327" s="30">
        <v>0.0</v>
      </c>
      <c r="I327" s="32">
        <v>0.0</v>
      </c>
      <c r="J327" s="32">
        <v>0.0</v>
      </c>
      <c r="K327" s="31">
        <v>0.0</v>
      </c>
      <c r="L327" s="1"/>
    </row>
    <row r="328">
      <c r="A328" s="23" t="s">
        <v>175</v>
      </c>
      <c r="B328" s="17" t="s">
        <v>2121</v>
      </c>
      <c r="C328" s="25">
        <f>VLOOKUP(A328,'Hoja 2'!A:C,3,0)</f>
        <v>1</v>
      </c>
      <c r="D328" s="25" t="str">
        <f>VLOOKUP(A328,'Hoja 2'!A:D,4,0)</f>
        <v>Contrato 1</v>
      </c>
      <c r="E328" s="45">
        <v>0.0</v>
      </c>
      <c r="F328" s="31">
        <v>0.0</v>
      </c>
      <c r="G328" s="32">
        <v>0.0</v>
      </c>
      <c r="H328" s="30">
        <v>0.0</v>
      </c>
      <c r="I328" s="32">
        <v>0.0</v>
      </c>
      <c r="J328" s="32">
        <v>0.0</v>
      </c>
      <c r="K328" s="31">
        <v>5000.0</v>
      </c>
      <c r="L328" s="1"/>
    </row>
    <row r="329">
      <c r="A329" s="23" t="s">
        <v>117</v>
      </c>
      <c r="B329" s="17" t="s">
        <v>2122</v>
      </c>
      <c r="C329" s="25">
        <f>VLOOKUP(A329,'Hoja 2'!A:C,3,0)</f>
        <v>1</v>
      </c>
      <c r="D329" s="25" t="str">
        <f>VLOOKUP(A329,'Hoja 2'!A:D,4,0)</f>
        <v>Contrato 1</v>
      </c>
      <c r="E329" s="45">
        <v>0.0</v>
      </c>
      <c r="F329" s="31">
        <v>0.0</v>
      </c>
      <c r="G329" s="32">
        <v>0.0</v>
      </c>
      <c r="H329" s="30">
        <v>0.0</v>
      </c>
      <c r="I329" s="32">
        <v>0.0</v>
      </c>
      <c r="J329" s="32">
        <v>0.0</v>
      </c>
      <c r="K329" s="45">
        <v>0.0</v>
      </c>
      <c r="L329" s="1" t="s">
        <v>53</v>
      </c>
    </row>
    <row r="330">
      <c r="A330" s="23" t="s">
        <v>340</v>
      </c>
      <c r="B330" s="17" t="s">
        <v>2123</v>
      </c>
      <c r="C330" s="25">
        <f>VLOOKUP(A330,'Hoja 2'!A:C,3,0)</f>
        <v>1</v>
      </c>
      <c r="D330" s="25" t="str">
        <f>VLOOKUP(A330,'Hoja 2'!A:D,4,0)</f>
        <v>Contrato PMA1</v>
      </c>
      <c r="E330" s="45">
        <v>0.0</v>
      </c>
      <c r="F330" s="31">
        <v>0.0</v>
      </c>
      <c r="G330" s="32">
        <v>0.0</v>
      </c>
      <c r="H330" s="30">
        <v>0.0</v>
      </c>
      <c r="I330" s="32">
        <v>0.0</v>
      </c>
      <c r="J330" s="32">
        <v>0.0</v>
      </c>
      <c r="K330" s="31">
        <v>0.0</v>
      </c>
      <c r="L330" s="1"/>
    </row>
    <row r="331">
      <c r="A331" s="23" t="s">
        <v>1054</v>
      </c>
      <c r="B331" s="17" t="s">
        <v>2124</v>
      </c>
      <c r="C331" s="25">
        <f>VLOOKUP(A331,'Hoja 2'!A:C,3,0)</f>
        <v>1</v>
      </c>
      <c r="D331" s="25" t="str">
        <f>VLOOKUP(A331,'Hoja 2'!A:D,4,0)</f>
        <v>Contrato 1</v>
      </c>
      <c r="E331" s="45">
        <v>0.0</v>
      </c>
      <c r="F331" s="31">
        <v>0.0</v>
      </c>
      <c r="G331" s="32">
        <v>0.0</v>
      </c>
      <c r="H331" s="30">
        <v>0.0</v>
      </c>
      <c r="I331" s="32">
        <v>0.0</v>
      </c>
      <c r="J331" s="32">
        <v>0.0</v>
      </c>
      <c r="K331" s="45">
        <v>0.0</v>
      </c>
      <c r="L331" s="1" t="s">
        <v>53</v>
      </c>
    </row>
    <row r="332">
      <c r="A332" s="23" t="s">
        <v>932</v>
      </c>
      <c r="B332" s="17" t="s">
        <v>2125</v>
      </c>
      <c r="C332" s="25">
        <f>VLOOKUP(A332,'Hoja 2'!A:C,3,0)</f>
        <v>1</v>
      </c>
      <c r="D332" s="25" t="str">
        <f>VLOOKUP(A332,'Hoja 2'!A:D,4,0)</f>
        <v>Contrato 1</v>
      </c>
      <c r="E332" s="45">
        <v>0.0</v>
      </c>
      <c r="F332" s="31">
        <v>0.0</v>
      </c>
      <c r="G332" s="32">
        <v>0.0</v>
      </c>
      <c r="H332" s="30">
        <v>0.0</v>
      </c>
      <c r="I332" s="32">
        <v>0.0</v>
      </c>
      <c r="J332" s="32">
        <v>0.0</v>
      </c>
      <c r="K332" s="31">
        <v>5000.0</v>
      </c>
      <c r="L332" s="1"/>
    </row>
    <row r="333">
      <c r="A333" s="23" t="s">
        <v>786</v>
      </c>
      <c r="B333" s="17" t="s">
        <v>2126</v>
      </c>
      <c r="C333" s="25">
        <f>VLOOKUP(A333,'Hoja 2'!A:C,3,0)</f>
        <v>1</v>
      </c>
      <c r="D333" s="25" t="str">
        <f>VLOOKUP(A333,'Hoja 2'!A:D,4,0)</f>
        <v>Contrato 1</v>
      </c>
      <c r="E333" s="45">
        <v>0.0</v>
      </c>
      <c r="F333" s="31">
        <v>0.0</v>
      </c>
      <c r="G333" s="32">
        <v>0.0</v>
      </c>
      <c r="H333" s="30">
        <v>0.0</v>
      </c>
      <c r="I333" s="32">
        <v>0.0</v>
      </c>
      <c r="J333" s="32">
        <v>0.0</v>
      </c>
      <c r="K333" s="31">
        <v>0.0</v>
      </c>
      <c r="L333" s="1"/>
    </row>
    <row r="334">
      <c r="A334" s="23" t="s">
        <v>1173</v>
      </c>
      <c r="B334" s="17" t="s">
        <v>2127</v>
      </c>
      <c r="C334" s="25">
        <f>VLOOKUP(A334,'Hoja 2'!A:C,3,0)</f>
        <v>1</v>
      </c>
      <c r="D334" s="25" t="str">
        <f>VLOOKUP(A334,'Hoja 2'!A:D,4,0)</f>
        <v>Contrato 1</v>
      </c>
      <c r="E334" s="45">
        <v>0.0</v>
      </c>
      <c r="F334" s="31">
        <v>0.0</v>
      </c>
      <c r="G334" s="32">
        <v>0.0</v>
      </c>
      <c r="H334" s="30">
        <v>0.0</v>
      </c>
      <c r="I334" s="32">
        <v>0.0</v>
      </c>
      <c r="J334" s="32">
        <v>0.0</v>
      </c>
      <c r="K334" s="45">
        <v>0.0</v>
      </c>
      <c r="L334" s="1" t="s">
        <v>53</v>
      </c>
    </row>
    <row r="335">
      <c r="A335" s="23" t="s">
        <v>1175</v>
      </c>
      <c r="B335" s="17" t="s">
        <v>2128</v>
      </c>
      <c r="C335" s="25">
        <f>VLOOKUP(A335,'Hoja 2'!A:C,3,0)</f>
        <v>1</v>
      </c>
      <c r="D335" s="25" t="str">
        <f>VLOOKUP(A335,'Hoja 2'!A:D,4,0)</f>
        <v>Contrato 1</v>
      </c>
      <c r="E335" s="45">
        <v>0.0</v>
      </c>
      <c r="F335" s="31">
        <v>0.0</v>
      </c>
      <c r="G335" s="32">
        <v>0.0</v>
      </c>
      <c r="H335" s="30">
        <v>0.0</v>
      </c>
      <c r="I335" s="32">
        <v>0.0</v>
      </c>
      <c r="J335" s="32">
        <v>0.0</v>
      </c>
      <c r="K335" s="31">
        <v>0.0</v>
      </c>
      <c r="L335" s="1"/>
    </row>
    <row r="336">
      <c r="A336" s="23" t="s">
        <v>574</v>
      </c>
      <c r="B336" s="17" t="s">
        <v>2129</v>
      </c>
      <c r="C336" s="25">
        <f>VLOOKUP(A336,'Hoja 2'!A:C,3,0)</f>
        <v>1</v>
      </c>
      <c r="D336" s="25" t="str">
        <f>VLOOKUP(A336,'Hoja 2'!A:D,4,0)</f>
        <v>Contrato 1</v>
      </c>
      <c r="E336" s="45">
        <v>0.0</v>
      </c>
      <c r="F336" s="31">
        <v>0.0</v>
      </c>
      <c r="G336" s="32">
        <v>0.0</v>
      </c>
      <c r="H336" s="30">
        <v>0.0</v>
      </c>
      <c r="I336" s="32">
        <v>0.0</v>
      </c>
      <c r="J336" s="32">
        <v>0.0</v>
      </c>
      <c r="K336" s="45">
        <v>0.0</v>
      </c>
      <c r="L336" s="1" t="s">
        <v>53</v>
      </c>
    </row>
    <row r="337">
      <c r="A337" s="23" t="s">
        <v>1051</v>
      </c>
      <c r="B337" s="17" t="s">
        <v>2130</v>
      </c>
      <c r="C337" s="25">
        <f>VLOOKUP(A337,'Hoja 2'!A:C,3,0)</f>
        <v>1</v>
      </c>
      <c r="D337" s="25" t="str">
        <f>VLOOKUP(A337,'Hoja 2'!A:D,4,0)</f>
        <v>Contrato 1</v>
      </c>
      <c r="E337" s="45">
        <v>0.0</v>
      </c>
      <c r="F337" s="31">
        <v>0.0</v>
      </c>
      <c r="G337" s="32">
        <v>0.0</v>
      </c>
      <c r="H337" s="30">
        <v>0.0</v>
      </c>
      <c r="I337" s="32">
        <v>0.0</v>
      </c>
      <c r="J337" s="32">
        <v>0.0</v>
      </c>
      <c r="K337" s="31">
        <v>0.0</v>
      </c>
      <c r="L337" s="1"/>
    </row>
    <row r="338">
      <c r="A338" s="23" t="s">
        <v>230</v>
      </c>
      <c r="B338" s="17" t="s">
        <v>2131</v>
      </c>
      <c r="C338" s="25">
        <f>VLOOKUP(A338,'Hoja 2'!A:C,3,0)</f>
        <v>1</v>
      </c>
      <c r="D338" s="25" t="str">
        <f>VLOOKUP(A338,'Hoja 2'!A:D,4,0)</f>
        <v>Contrato 1</v>
      </c>
      <c r="E338" s="45">
        <v>0.0</v>
      </c>
      <c r="F338" s="31">
        <v>0.0</v>
      </c>
      <c r="G338" s="32">
        <v>0.0</v>
      </c>
      <c r="H338" s="30">
        <v>0.0</v>
      </c>
      <c r="I338" s="32">
        <v>0.0</v>
      </c>
      <c r="J338" s="32">
        <v>0.0</v>
      </c>
      <c r="K338" s="31">
        <v>0.0</v>
      </c>
      <c r="L338" s="1"/>
    </row>
    <row r="339">
      <c r="A339" s="23" t="s">
        <v>986</v>
      </c>
      <c r="B339" s="17" t="s">
        <v>2132</v>
      </c>
      <c r="C339" s="25">
        <f>VLOOKUP(A339,'Hoja 2'!A:C,3,0)</f>
        <v>1</v>
      </c>
      <c r="D339" s="25" t="str">
        <f>VLOOKUP(A339,'Hoja 2'!A:D,4,0)</f>
        <v>Contrato 1</v>
      </c>
      <c r="E339" s="45">
        <v>0.0</v>
      </c>
      <c r="F339" s="31">
        <v>0.0</v>
      </c>
      <c r="G339" s="32">
        <v>0.0</v>
      </c>
      <c r="H339" s="30">
        <v>0.0</v>
      </c>
      <c r="I339" s="32">
        <v>0.0</v>
      </c>
      <c r="J339" s="32">
        <v>0.0</v>
      </c>
      <c r="K339" s="31">
        <v>0.0</v>
      </c>
      <c r="L339" s="1"/>
    </row>
    <row r="340">
      <c r="A340" s="23" t="s">
        <v>365</v>
      </c>
      <c r="B340" s="17" t="s">
        <v>2133</v>
      </c>
      <c r="C340" s="25">
        <f>VLOOKUP(A340,'Hoja 2'!A:C,3,0)</f>
        <v>1</v>
      </c>
      <c r="D340" s="25" t="str">
        <f>VLOOKUP(A340,'Hoja 2'!A:D,4,0)</f>
        <v>Contrato 1</v>
      </c>
      <c r="E340" s="45">
        <v>0.0</v>
      </c>
      <c r="F340" s="31">
        <v>0.0</v>
      </c>
      <c r="G340" s="32">
        <v>0.0</v>
      </c>
      <c r="H340" s="30">
        <v>0.0</v>
      </c>
      <c r="I340" s="32">
        <v>0.0</v>
      </c>
      <c r="J340" s="32">
        <v>0.0</v>
      </c>
      <c r="K340" s="45">
        <v>0.0</v>
      </c>
      <c r="L340" s="1" t="s">
        <v>53</v>
      </c>
    </row>
    <row r="341">
      <c r="A341" s="23" t="s">
        <v>599</v>
      </c>
      <c r="B341" s="17" t="s">
        <v>2134</v>
      </c>
      <c r="C341" s="25">
        <f>VLOOKUP(A341,'Hoja 2'!A:C,3,0)</f>
        <v>1</v>
      </c>
      <c r="D341" s="25" t="str">
        <f>VLOOKUP(A341,'Hoja 2'!A:D,4,0)</f>
        <v>Contrato 1</v>
      </c>
      <c r="E341" s="45">
        <v>0.0</v>
      </c>
      <c r="F341" s="31">
        <v>0.0</v>
      </c>
      <c r="G341" s="32">
        <v>0.0</v>
      </c>
      <c r="H341" s="30">
        <v>0.0</v>
      </c>
      <c r="I341" s="32">
        <v>0.0</v>
      </c>
      <c r="J341" s="32">
        <v>0.0</v>
      </c>
      <c r="K341" s="31">
        <v>0.0</v>
      </c>
      <c r="L341" s="1"/>
    </row>
    <row r="342">
      <c r="A342" s="23" t="s">
        <v>146</v>
      </c>
      <c r="B342" s="17" t="s">
        <v>2135</v>
      </c>
      <c r="C342" s="25">
        <f>VLOOKUP(A342,'Hoja 2'!A:C,3,0)</f>
        <v>1</v>
      </c>
      <c r="D342" s="25" t="str">
        <f>VLOOKUP(A342,'Hoja 2'!A:D,4,0)</f>
        <v>Contrato 1</v>
      </c>
      <c r="E342" s="45">
        <v>0.0</v>
      </c>
      <c r="F342" s="31">
        <v>0.0</v>
      </c>
      <c r="G342" s="32">
        <v>0.0</v>
      </c>
      <c r="H342" s="30">
        <v>0.0</v>
      </c>
      <c r="I342" s="32">
        <v>0.0</v>
      </c>
      <c r="J342" s="32">
        <v>0.0</v>
      </c>
      <c r="K342" s="31">
        <v>0.0</v>
      </c>
      <c r="L342" s="1"/>
    </row>
    <row r="343">
      <c r="A343" s="23" t="s">
        <v>497</v>
      </c>
      <c r="B343" s="17" t="s">
        <v>2136</v>
      </c>
      <c r="C343" s="25">
        <f>VLOOKUP(A343,'Hoja 2'!A:C,3,0)</f>
        <v>1</v>
      </c>
      <c r="D343" s="25" t="str">
        <f>VLOOKUP(A343,'Hoja 2'!A:D,4,0)</f>
        <v>Contrato 1</v>
      </c>
      <c r="E343" s="45">
        <v>0.0</v>
      </c>
      <c r="F343" s="31">
        <v>0.0</v>
      </c>
      <c r="G343" s="32">
        <v>0.0</v>
      </c>
      <c r="H343" s="30">
        <v>0.0</v>
      </c>
      <c r="I343" s="32">
        <v>0.0</v>
      </c>
      <c r="J343" s="32">
        <v>0.0</v>
      </c>
      <c r="K343" s="31">
        <v>5000.0</v>
      </c>
      <c r="L343" s="1"/>
    </row>
    <row r="344">
      <c r="A344" s="23" t="s">
        <v>1680</v>
      </c>
      <c r="B344" s="17" t="s">
        <v>2137</v>
      </c>
      <c r="C344" s="25">
        <f>VLOOKUP(A344,'Hoja 2'!A:C,3,0)</f>
        <v>1</v>
      </c>
      <c r="D344" s="25" t="str">
        <f>VLOOKUP(A344,'Hoja 2'!A:D,4,0)</f>
        <v>Contrato 1</v>
      </c>
      <c r="E344" s="45">
        <v>0.0</v>
      </c>
      <c r="F344" s="31">
        <v>0.0</v>
      </c>
      <c r="G344" s="32">
        <v>0.0</v>
      </c>
      <c r="H344" s="30">
        <v>0.0</v>
      </c>
      <c r="I344" s="32">
        <v>0.0</v>
      </c>
      <c r="J344" s="32">
        <v>0.0</v>
      </c>
      <c r="K344" s="31">
        <v>5000.0</v>
      </c>
      <c r="L344" s="1"/>
    </row>
    <row r="345">
      <c r="A345" s="23" t="s">
        <v>1494</v>
      </c>
      <c r="B345" s="17" t="s">
        <v>2138</v>
      </c>
      <c r="C345" s="25">
        <f>VLOOKUP(A345,'Hoja 2'!A:C,3,0)</f>
        <v>1</v>
      </c>
      <c r="D345" s="25" t="str">
        <f>VLOOKUP(A345,'Hoja 2'!A:D,4,0)</f>
        <v>Contrato 1</v>
      </c>
      <c r="E345" s="45">
        <v>0.0</v>
      </c>
      <c r="F345" s="31">
        <v>0.0</v>
      </c>
      <c r="G345" s="32">
        <v>0.0</v>
      </c>
      <c r="H345" s="30">
        <v>0.0</v>
      </c>
      <c r="I345" s="32">
        <v>0.0</v>
      </c>
      <c r="J345" s="32">
        <v>0.0</v>
      </c>
      <c r="K345" s="31">
        <v>0.0</v>
      </c>
      <c r="L345" s="1"/>
    </row>
    <row r="346">
      <c r="A346" s="23" t="s">
        <v>290</v>
      </c>
      <c r="B346" s="17" t="s">
        <v>2139</v>
      </c>
      <c r="C346" s="25">
        <f>VLOOKUP(A346,'Hoja 2'!A:C,3,0)</f>
        <v>1</v>
      </c>
      <c r="D346" s="25" t="str">
        <f>VLOOKUP(A346,'Hoja 2'!A:D,4,0)</f>
        <v>Contrato 1</v>
      </c>
      <c r="E346" s="45">
        <v>0.0</v>
      </c>
      <c r="F346" s="31">
        <v>0.0</v>
      </c>
      <c r="G346" s="32">
        <v>0.0</v>
      </c>
      <c r="H346" s="30">
        <v>0.0</v>
      </c>
      <c r="I346" s="32">
        <v>0.0</v>
      </c>
      <c r="J346" s="32">
        <v>0.0</v>
      </c>
      <c r="K346" s="31">
        <v>0.0</v>
      </c>
      <c r="L346" s="1"/>
    </row>
    <row r="347">
      <c r="A347" s="23" t="s">
        <v>708</v>
      </c>
      <c r="B347" s="17" t="s">
        <v>2140</v>
      </c>
      <c r="C347" s="25">
        <f>VLOOKUP(A347,'Hoja 2'!A:C,3,0)</f>
        <v>1</v>
      </c>
      <c r="D347" s="25" t="str">
        <f>VLOOKUP(A347,'Hoja 2'!A:D,4,0)</f>
        <v>Contrato 1</v>
      </c>
      <c r="E347" s="45">
        <v>0.0</v>
      </c>
      <c r="F347" s="31">
        <v>0.0</v>
      </c>
      <c r="G347" s="32">
        <v>0.0</v>
      </c>
      <c r="H347" s="30">
        <v>0.0</v>
      </c>
      <c r="I347" s="32">
        <v>0.0</v>
      </c>
      <c r="J347" s="32">
        <v>60000.0</v>
      </c>
      <c r="K347" s="31">
        <v>0.0</v>
      </c>
      <c r="L347" s="1"/>
    </row>
    <row r="348">
      <c r="A348" s="23" t="s">
        <v>555</v>
      </c>
      <c r="B348" s="17" t="s">
        <v>2141</v>
      </c>
      <c r="C348" s="25">
        <f>VLOOKUP(A348,'Hoja 2'!A:C,3,0)</f>
        <v>1</v>
      </c>
      <c r="D348" s="25" t="str">
        <f>VLOOKUP(A348,'Hoja 2'!A:D,4,0)</f>
        <v>Contrato 1</v>
      </c>
      <c r="E348" s="45">
        <v>0.0</v>
      </c>
      <c r="F348" s="31">
        <v>0.0</v>
      </c>
      <c r="G348" s="32">
        <v>0.0</v>
      </c>
      <c r="H348" s="30">
        <v>0.0</v>
      </c>
      <c r="I348" s="32">
        <v>0.0</v>
      </c>
      <c r="J348" s="32">
        <v>0.0</v>
      </c>
      <c r="K348" s="31">
        <v>0.0</v>
      </c>
      <c r="L348" s="1"/>
    </row>
    <row r="349">
      <c r="A349" s="23" t="s">
        <v>762</v>
      </c>
      <c r="B349" s="17" t="s">
        <v>2142</v>
      </c>
      <c r="C349" s="25">
        <f>VLOOKUP(A349,'Hoja 2'!A:C,3,0)</f>
        <v>1</v>
      </c>
      <c r="D349" s="25" t="str">
        <f>VLOOKUP(A349,'Hoja 2'!A:D,4,0)</f>
        <v>Contrato 1</v>
      </c>
      <c r="E349" s="45">
        <v>0.0</v>
      </c>
      <c r="F349" s="31">
        <v>0.0</v>
      </c>
      <c r="G349" s="32">
        <v>0.0</v>
      </c>
      <c r="H349" s="30">
        <v>0.0</v>
      </c>
      <c r="I349" s="32">
        <v>0.0</v>
      </c>
      <c r="J349" s="32">
        <v>0.0</v>
      </c>
      <c r="K349" s="31">
        <v>0.0</v>
      </c>
      <c r="L349" s="1"/>
    </row>
    <row r="350">
      <c r="A350" s="23" t="s">
        <v>940</v>
      </c>
      <c r="B350" s="17" t="s">
        <v>2143</v>
      </c>
      <c r="C350" s="25">
        <f>VLOOKUP(A350,'Hoja 2'!A:C,3,0)</f>
        <v>1</v>
      </c>
      <c r="D350" s="25" t="str">
        <f>VLOOKUP(A350,'Hoja 2'!A:D,4,0)</f>
        <v>Contrato 1</v>
      </c>
      <c r="E350" s="45">
        <v>0.0</v>
      </c>
      <c r="F350" s="31">
        <v>0.0</v>
      </c>
      <c r="G350" s="32">
        <v>0.0</v>
      </c>
      <c r="H350" s="30">
        <v>0.0</v>
      </c>
      <c r="I350" s="32">
        <v>0.0</v>
      </c>
      <c r="J350" s="32">
        <v>0.0</v>
      </c>
      <c r="K350" s="31">
        <v>0.0</v>
      </c>
      <c r="L350" s="1"/>
    </row>
    <row r="351">
      <c r="A351" s="23" t="s">
        <v>1040</v>
      </c>
      <c r="B351" s="17" t="s">
        <v>2144</v>
      </c>
      <c r="C351" s="25">
        <f>VLOOKUP(A351,'Hoja 2'!A:C,3,0)</f>
        <v>1</v>
      </c>
      <c r="D351" s="25" t="str">
        <f>VLOOKUP(A351,'Hoja 2'!A:D,4,0)</f>
        <v>Contrato 1</v>
      </c>
      <c r="E351" s="45">
        <v>0.0</v>
      </c>
      <c r="F351" s="31">
        <v>0.0</v>
      </c>
      <c r="G351" s="32">
        <v>0.0</v>
      </c>
      <c r="H351" s="30">
        <v>0.0</v>
      </c>
      <c r="I351" s="32">
        <v>0.0</v>
      </c>
      <c r="J351" s="32">
        <v>0.0</v>
      </c>
      <c r="K351" s="45">
        <v>0.0</v>
      </c>
      <c r="L351" s="1" t="s">
        <v>53</v>
      </c>
    </row>
    <row r="352">
      <c r="A352" s="23" t="s">
        <v>432</v>
      </c>
      <c r="B352" s="17" t="s">
        <v>2145</v>
      </c>
      <c r="C352" s="25">
        <f>VLOOKUP(A352,'Hoja 2'!A:C,3,0)</f>
        <v>1</v>
      </c>
      <c r="D352" s="25" t="str">
        <f>VLOOKUP(A352,'Hoja 2'!A:D,4,0)</f>
        <v>Contrato 1</v>
      </c>
      <c r="E352" s="45">
        <v>0.0</v>
      </c>
      <c r="F352" s="31">
        <v>0.0</v>
      </c>
      <c r="G352" s="32">
        <v>0.0</v>
      </c>
      <c r="H352" s="30">
        <v>0.0</v>
      </c>
      <c r="I352" s="32">
        <v>0.0</v>
      </c>
      <c r="J352" s="32">
        <v>0.0</v>
      </c>
      <c r="K352" s="45">
        <v>0.0</v>
      </c>
      <c r="L352" s="1" t="s">
        <v>53</v>
      </c>
    </row>
    <row r="353">
      <c r="A353" s="23" t="s">
        <v>596</v>
      </c>
      <c r="B353" s="17" t="s">
        <v>2146</v>
      </c>
      <c r="C353" s="25">
        <f>VLOOKUP(A353,'Hoja 2'!A:C,3,0)</f>
        <v>1</v>
      </c>
      <c r="D353" s="25" t="str">
        <f>VLOOKUP(A353,'Hoja 2'!A:D,4,0)</f>
        <v>Contrato PMA 1</v>
      </c>
      <c r="E353" s="45">
        <v>0.0</v>
      </c>
      <c r="F353" s="31">
        <v>0.0</v>
      </c>
      <c r="G353" s="32">
        <v>0.0</v>
      </c>
      <c r="H353" s="30">
        <v>0.0</v>
      </c>
      <c r="I353" s="32">
        <v>0.0</v>
      </c>
      <c r="J353" s="32">
        <v>0.0</v>
      </c>
      <c r="K353" s="31">
        <v>0.0</v>
      </c>
      <c r="L353" s="1"/>
    </row>
    <row r="354">
      <c r="A354" s="23" t="s">
        <v>1665</v>
      </c>
      <c r="B354" s="17" t="s">
        <v>2147</v>
      </c>
      <c r="C354" s="25">
        <f>VLOOKUP(A354,'Hoja 2'!A:C,3,0)</f>
        <v>1</v>
      </c>
      <c r="D354" s="25" t="str">
        <f>VLOOKUP(A354,'Hoja 2'!A:D,4,0)</f>
        <v>Contrato 1</v>
      </c>
      <c r="E354" s="45">
        <v>0.0</v>
      </c>
      <c r="F354" s="31">
        <v>0.0</v>
      </c>
      <c r="G354" s="45">
        <v>0.0</v>
      </c>
      <c r="H354" s="38">
        <v>0.0</v>
      </c>
      <c r="I354" s="39">
        <v>0.0</v>
      </c>
      <c r="J354" s="45">
        <v>0.0</v>
      </c>
      <c r="K354" s="31">
        <v>0.0</v>
      </c>
      <c r="L354" s="1"/>
    </row>
    <row r="355">
      <c r="A355" s="23" t="s">
        <v>1005</v>
      </c>
      <c r="B355" s="17" t="s">
        <v>2148</v>
      </c>
      <c r="C355" s="25">
        <f>VLOOKUP(A355,'Hoja 2'!A:C,3,0)</f>
        <v>1</v>
      </c>
      <c r="D355" s="25" t="str">
        <f>VLOOKUP(A355,'Hoja 2'!A:D,4,0)</f>
        <v>Contrato 1</v>
      </c>
      <c r="E355" s="45">
        <v>0.0</v>
      </c>
      <c r="F355" s="31">
        <v>0.0</v>
      </c>
      <c r="G355" s="45">
        <v>0.0</v>
      </c>
      <c r="H355" s="38">
        <v>0.0</v>
      </c>
      <c r="I355" s="39">
        <v>0.0</v>
      </c>
      <c r="J355" s="45">
        <v>0.0</v>
      </c>
      <c r="K355" s="31">
        <v>0.0</v>
      </c>
      <c r="L355" s="1"/>
    </row>
    <row r="356">
      <c r="A356" s="23" t="s">
        <v>1880</v>
      </c>
      <c r="B356" s="17" t="s">
        <v>2149</v>
      </c>
      <c r="C356" s="25">
        <f>VLOOKUP(A356,'Hoja 2'!A:C,3,0)</f>
        <v>1</v>
      </c>
      <c r="D356" s="25" t="str">
        <f>VLOOKUP(A356,'Hoja 2'!A:D,4,0)</f>
        <v>Contrato 1</v>
      </c>
      <c r="E356" s="45">
        <v>0.0</v>
      </c>
      <c r="F356" s="31">
        <v>0.0</v>
      </c>
      <c r="G356" s="45">
        <v>0.0</v>
      </c>
      <c r="H356" s="38">
        <v>0.0</v>
      </c>
      <c r="I356" s="39">
        <v>0.0</v>
      </c>
      <c r="J356" s="45">
        <v>0.0</v>
      </c>
      <c r="K356" s="31">
        <v>0.0</v>
      </c>
      <c r="L356" s="1"/>
    </row>
    <row r="357">
      <c r="A357" s="23" t="s">
        <v>1114</v>
      </c>
      <c r="B357" s="17" t="s">
        <v>2150</v>
      </c>
      <c r="C357" s="25">
        <f>VLOOKUP(A357,'Hoja 2'!A:C,3,0)</f>
        <v>1</v>
      </c>
      <c r="D357" s="25" t="str">
        <f>VLOOKUP(A357,'Hoja 2'!A:D,4,0)</f>
        <v>Contrato Manipuladora</v>
      </c>
      <c r="E357" s="45">
        <v>0.0</v>
      </c>
      <c r="F357" s="31">
        <v>0.0</v>
      </c>
      <c r="G357" s="45">
        <v>0.0</v>
      </c>
      <c r="H357" s="38">
        <v>0.0</v>
      </c>
      <c r="I357" s="39">
        <v>0.0</v>
      </c>
      <c r="J357" s="45">
        <v>0.0</v>
      </c>
      <c r="K357" s="31">
        <v>0.0</v>
      </c>
      <c r="L357" s="1"/>
    </row>
    <row r="358">
      <c r="A358" s="23" t="s">
        <v>1336</v>
      </c>
      <c r="B358" s="17" t="s">
        <v>2151</v>
      </c>
      <c r="C358" s="25">
        <f>VLOOKUP(A358,'Hoja 2'!A:C,3,0)</f>
        <v>1</v>
      </c>
      <c r="D358" s="25" t="str">
        <f>VLOOKUP(A358,'Hoja 2'!A:D,4,0)</f>
        <v>Contrato 1</v>
      </c>
      <c r="E358" s="30">
        <v>0.0</v>
      </c>
      <c r="F358" s="31">
        <v>0.0</v>
      </c>
      <c r="G358" s="32">
        <v>0.0</v>
      </c>
      <c r="H358" s="32">
        <v>0.0</v>
      </c>
      <c r="I358" s="32">
        <v>0.0</v>
      </c>
      <c r="J358" s="32">
        <v>0.0</v>
      </c>
      <c r="K358" s="31">
        <v>0.0</v>
      </c>
      <c r="L358" s="1"/>
    </row>
    <row r="359">
      <c r="A359" s="23" t="s">
        <v>1059</v>
      </c>
      <c r="B359" s="17" t="s">
        <v>1060</v>
      </c>
      <c r="C359" s="25">
        <f>VLOOKUP(A359,'Hoja 2'!A:C,3,0)</f>
        <v>1</v>
      </c>
      <c r="D359" s="25" t="str">
        <f>VLOOKUP(A359,'Hoja 2'!A:D,4,0)</f>
        <v>Contrato 1</v>
      </c>
      <c r="E359" s="30">
        <v>0.0</v>
      </c>
      <c r="F359" s="31">
        <v>0.0</v>
      </c>
      <c r="G359" s="32">
        <v>0.0</v>
      </c>
      <c r="H359" s="32">
        <v>0.0</v>
      </c>
      <c r="I359" s="32">
        <v>0.0</v>
      </c>
      <c r="J359" s="32">
        <v>0.0</v>
      </c>
      <c r="K359" s="31">
        <v>0.0</v>
      </c>
      <c r="L359" s="1"/>
    </row>
    <row r="360">
      <c r="A360" s="23" t="s">
        <v>1287</v>
      </c>
      <c r="B360" s="17" t="s">
        <v>1288</v>
      </c>
      <c r="C360" s="25">
        <f>VLOOKUP(A360,'Hoja 2'!A:C,3,0)</f>
        <v>1</v>
      </c>
      <c r="D360" s="25" t="str">
        <f>VLOOKUP(A360,'Hoja 2'!A:D,4,0)</f>
        <v>Contrato 1</v>
      </c>
      <c r="E360" s="30">
        <v>0.0</v>
      </c>
      <c r="F360" s="31">
        <v>0.0</v>
      </c>
      <c r="G360" s="32">
        <v>0.0</v>
      </c>
      <c r="H360" s="32">
        <v>0.0</v>
      </c>
      <c r="I360" s="32">
        <v>0.0</v>
      </c>
      <c r="J360" s="32">
        <v>0.0</v>
      </c>
      <c r="K360" s="31">
        <v>0.0</v>
      </c>
      <c r="L360" s="1"/>
    </row>
    <row r="361">
      <c r="A361" s="23" t="s">
        <v>1377</v>
      </c>
      <c r="B361" s="17" t="s">
        <v>1378</v>
      </c>
      <c r="C361" s="25">
        <f>VLOOKUP(A361,'Hoja 2'!A:C,3,0)</f>
        <v>1</v>
      </c>
      <c r="D361" s="25" t="str">
        <f>VLOOKUP(A361,'Hoja 2'!A:D,4,0)</f>
        <v>Contrato 1</v>
      </c>
      <c r="E361" s="30">
        <v>0.0</v>
      </c>
      <c r="F361" s="31">
        <v>0.0</v>
      </c>
      <c r="G361" s="32">
        <v>0.0</v>
      </c>
      <c r="H361" s="32">
        <v>0.0</v>
      </c>
      <c r="I361" s="32">
        <v>0.0</v>
      </c>
      <c r="J361" s="32">
        <v>0.0</v>
      </c>
      <c r="K361" s="31">
        <v>0.0</v>
      </c>
      <c r="L361" s="1"/>
    </row>
    <row r="362">
      <c r="A362" s="23" t="s">
        <v>345</v>
      </c>
      <c r="B362" s="17" t="s">
        <v>346</v>
      </c>
      <c r="C362" s="25">
        <f>VLOOKUP(A362,'Hoja 2'!A:C,3,0)</f>
        <v>1</v>
      </c>
      <c r="D362" s="25" t="str">
        <f>VLOOKUP(A362,'Hoja 2'!A:D,4,0)</f>
        <v>Contrato 1</v>
      </c>
      <c r="E362" s="30">
        <v>0.0</v>
      </c>
      <c r="F362" s="31">
        <v>0.0</v>
      </c>
      <c r="G362" s="32">
        <v>0.0</v>
      </c>
      <c r="H362" s="32">
        <v>0.0</v>
      </c>
      <c r="I362" s="32">
        <v>0.0</v>
      </c>
      <c r="J362" s="32">
        <v>0.0</v>
      </c>
      <c r="K362" s="31">
        <v>0.0</v>
      </c>
      <c r="L362" s="1"/>
    </row>
    <row r="363">
      <c r="A363" s="23" t="s">
        <v>1427</v>
      </c>
      <c r="B363" s="17" t="s">
        <v>2152</v>
      </c>
      <c r="C363" s="25">
        <f>VLOOKUP(A363,'Hoja 2'!A:C,3,0)</f>
        <v>1</v>
      </c>
      <c r="D363" s="25" t="str">
        <f>VLOOKUP(A363,'Hoja 2'!A:D,4,0)</f>
        <v>Contrato 1</v>
      </c>
      <c r="E363" s="30">
        <v>0.0</v>
      </c>
      <c r="F363" s="31">
        <v>0.0</v>
      </c>
      <c r="G363" s="32">
        <v>0.0</v>
      </c>
      <c r="H363" s="32">
        <v>0.0</v>
      </c>
      <c r="I363" s="32">
        <v>0.0</v>
      </c>
      <c r="J363" s="32">
        <v>0.0</v>
      </c>
      <c r="K363" s="31">
        <v>0.0</v>
      </c>
      <c r="L363" s="1"/>
    </row>
  </sheetData>
  <autoFilter ref="$A$1:$L$36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4</v>
      </c>
      <c r="B1" s="6" t="s">
        <v>8</v>
      </c>
      <c r="C1" s="6" t="s">
        <v>9</v>
      </c>
      <c r="D1" s="6" t="s">
        <v>10</v>
      </c>
    </row>
    <row r="2">
      <c r="A2" s="36" t="s">
        <v>80</v>
      </c>
      <c r="B2" s="36" t="s">
        <v>81</v>
      </c>
      <c r="C2" s="25">
        <v>1.0</v>
      </c>
      <c r="D2" s="36" t="s">
        <v>82</v>
      </c>
    </row>
    <row r="3">
      <c r="A3" s="36" t="s">
        <v>83</v>
      </c>
      <c r="B3" s="36" t="s">
        <v>84</v>
      </c>
      <c r="C3" s="25">
        <v>1.0</v>
      </c>
      <c r="D3" s="36" t="s">
        <v>82</v>
      </c>
    </row>
    <row r="4">
      <c r="A4" s="36" t="s">
        <v>85</v>
      </c>
      <c r="B4" s="36" t="s">
        <v>86</v>
      </c>
      <c r="C4" s="25">
        <v>1.0</v>
      </c>
      <c r="D4" s="36" t="s">
        <v>82</v>
      </c>
    </row>
    <row r="5">
      <c r="A5" s="36" t="s">
        <v>87</v>
      </c>
      <c r="B5" s="36" t="s">
        <v>88</v>
      </c>
      <c r="C5" s="25">
        <v>1.0</v>
      </c>
      <c r="D5" s="36" t="s">
        <v>82</v>
      </c>
    </row>
    <row r="6">
      <c r="A6" s="36" t="s">
        <v>89</v>
      </c>
      <c r="B6" s="36" t="s">
        <v>90</v>
      </c>
      <c r="C6" s="25">
        <v>1.0</v>
      </c>
      <c r="D6" s="36" t="s">
        <v>82</v>
      </c>
    </row>
    <row r="7">
      <c r="A7" s="36" t="s">
        <v>91</v>
      </c>
      <c r="B7" s="36" t="s">
        <v>92</v>
      </c>
      <c r="C7" s="25">
        <v>1.0</v>
      </c>
      <c r="D7" s="36" t="s">
        <v>82</v>
      </c>
    </row>
    <row r="8">
      <c r="A8" s="36" t="s">
        <v>94</v>
      </c>
      <c r="B8" s="36" t="s">
        <v>96</v>
      </c>
      <c r="C8" s="25">
        <v>1.0</v>
      </c>
      <c r="D8" s="36" t="s">
        <v>82</v>
      </c>
    </row>
    <row r="9">
      <c r="A9" s="36" t="s">
        <v>97</v>
      </c>
      <c r="B9" s="36" t="s">
        <v>98</v>
      </c>
      <c r="C9" s="25">
        <v>1.0</v>
      </c>
      <c r="D9" s="36" t="s">
        <v>82</v>
      </c>
    </row>
    <row r="10">
      <c r="A10" s="36" t="s">
        <v>99</v>
      </c>
      <c r="B10" s="36" t="s">
        <v>100</v>
      </c>
      <c r="C10" s="25">
        <v>1.0</v>
      </c>
      <c r="D10" s="36" t="s">
        <v>82</v>
      </c>
    </row>
    <row r="11">
      <c r="A11" s="36" t="s">
        <v>101</v>
      </c>
      <c r="B11" s="36" t="s">
        <v>102</v>
      </c>
      <c r="C11" s="25">
        <v>1.0</v>
      </c>
      <c r="D11" s="36" t="s">
        <v>82</v>
      </c>
    </row>
    <row r="12">
      <c r="A12" s="36" t="s">
        <v>103</v>
      </c>
      <c r="B12" s="36" t="s">
        <v>104</v>
      </c>
      <c r="C12" s="25">
        <v>1.0</v>
      </c>
      <c r="D12" s="36" t="s">
        <v>82</v>
      </c>
    </row>
    <row r="13">
      <c r="A13" s="36" t="s">
        <v>105</v>
      </c>
      <c r="B13" s="36" t="s">
        <v>107</v>
      </c>
      <c r="C13" s="25">
        <v>1.0</v>
      </c>
      <c r="D13" s="36" t="s">
        <v>82</v>
      </c>
    </row>
    <row r="14">
      <c r="A14" s="36" t="s">
        <v>109</v>
      </c>
      <c r="B14" s="36" t="s">
        <v>110</v>
      </c>
      <c r="C14" s="25">
        <v>1.0</v>
      </c>
      <c r="D14" s="36" t="s">
        <v>82</v>
      </c>
    </row>
    <row r="15">
      <c r="A15" s="36" t="s">
        <v>111</v>
      </c>
      <c r="B15" s="36" t="s">
        <v>112</v>
      </c>
      <c r="C15" s="25">
        <v>1.0</v>
      </c>
      <c r="D15" s="36" t="s">
        <v>82</v>
      </c>
    </row>
    <row r="16">
      <c r="A16" s="36" t="s">
        <v>113</v>
      </c>
      <c r="B16" s="36" t="s">
        <v>114</v>
      </c>
      <c r="C16" s="25">
        <v>1.0</v>
      </c>
      <c r="D16" s="36" t="s">
        <v>82</v>
      </c>
    </row>
    <row r="17">
      <c r="A17" s="36" t="s">
        <v>115</v>
      </c>
      <c r="B17" s="36" t="s">
        <v>116</v>
      </c>
      <c r="C17" s="25">
        <v>1.0</v>
      </c>
      <c r="D17" s="36" t="s">
        <v>82</v>
      </c>
    </row>
    <row r="18">
      <c r="A18" s="36" t="s">
        <v>117</v>
      </c>
      <c r="B18" s="36" t="s">
        <v>118</v>
      </c>
      <c r="C18" s="25">
        <v>1.0</v>
      </c>
      <c r="D18" s="36" t="s">
        <v>82</v>
      </c>
    </row>
    <row r="19">
      <c r="A19" s="36" t="s">
        <v>119</v>
      </c>
      <c r="B19" s="36" t="s">
        <v>120</v>
      </c>
      <c r="C19" s="25">
        <v>1.0</v>
      </c>
      <c r="D19" s="36" t="s">
        <v>82</v>
      </c>
    </row>
    <row r="20">
      <c r="A20" s="36" t="s">
        <v>123</v>
      </c>
      <c r="B20" s="36" t="s">
        <v>124</v>
      </c>
      <c r="C20" s="25">
        <v>1.0</v>
      </c>
      <c r="D20" s="36" t="s">
        <v>82</v>
      </c>
    </row>
    <row r="21">
      <c r="A21" s="36" t="s">
        <v>125</v>
      </c>
      <c r="B21" s="36" t="s">
        <v>126</v>
      </c>
      <c r="C21" s="25">
        <v>1.0</v>
      </c>
      <c r="D21" s="36" t="s">
        <v>82</v>
      </c>
    </row>
    <row r="22">
      <c r="A22" s="36" t="s">
        <v>121</v>
      </c>
      <c r="B22" s="36" t="s">
        <v>127</v>
      </c>
      <c r="C22" s="25">
        <v>1.0</v>
      </c>
      <c r="D22" s="36" t="s">
        <v>82</v>
      </c>
    </row>
    <row r="23">
      <c r="A23" s="36" t="s">
        <v>128</v>
      </c>
      <c r="B23" s="36" t="s">
        <v>129</v>
      </c>
      <c r="C23" s="25">
        <v>1.0</v>
      </c>
      <c r="D23" s="36" t="s">
        <v>82</v>
      </c>
    </row>
    <row r="24">
      <c r="A24" s="36" t="s">
        <v>131</v>
      </c>
      <c r="B24" s="36" t="s">
        <v>132</v>
      </c>
      <c r="C24" s="25">
        <v>1.0</v>
      </c>
      <c r="D24" s="36" t="s">
        <v>82</v>
      </c>
    </row>
    <row r="25">
      <c r="A25" s="36" t="s">
        <v>133</v>
      </c>
      <c r="B25" s="36" t="s">
        <v>134</v>
      </c>
      <c r="C25" s="25">
        <v>1.0</v>
      </c>
      <c r="D25" s="36" t="s">
        <v>82</v>
      </c>
    </row>
    <row r="26">
      <c r="A26" s="36" t="s">
        <v>135</v>
      </c>
      <c r="B26" s="36" t="s">
        <v>136</v>
      </c>
      <c r="C26" s="25">
        <v>1.0</v>
      </c>
      <c r="D26" s="36" t="s">
        <v>137</v>
      </c>
    </row>
    <row r="27">
      <c r="A27" s="36" t="s">
        <v>138</v>
      </c>
      <c r="B27" s="36" t="s">
        <v>139</v>
      </c>
      <c r="C27" s="25">
        <v>1.0</v>
      </c>
      <c r="D27" s="36" t="s">
        <v>82</v>
      </c>
    </row>
    <row r="28">
      <c r="A28" s="36" t="s">
        <v>140</v>
      </c>
      <c r="B28" s="36" t="s">
        <v>143</v>
      </c>
      <c r="C28" s="25">
        <v>1.0</v>
      </c>
      <c r="D28" s="36" t="s">
        <v>82</v>
      </c>
    </row>
    <row r="29">
      <c r="A29" s="36" t="s">
        <v>144</v>
      </c>
      <c r="B29" s="36" t="s">
        <v>145</v>
      </c>
      <c r="C29" s="25">
        <v>1.0</v>
      </c>
      <c r="D29" s="36" t="s">
        <v>82</v>
      </c>
    </row>
    <row r="30">
      <c r="A30" s="36" t="s">
        <v>146</v>
      </c>
      <c r="B30" s="36" t="s">
        <v>147</v>
      </c>
      <c r="C30" s="25">
        <v>1.0</v>
      </c>
      <c r="D30" s="36" t="s">
        <v>82</v>
      </c>
    </row>
    <row r="31">
      <c r="A31" s="36" t="s">
        <v>148</v>
      </c>
      <c r="B31" s="36" t="s">
        <v>149</v>
      </c>
      <c r="C31" s="25">
        <v>1.0</v>
      </c>
      <c r="D31" s="36" t="s">
        <v>150</v>
      </c>
    </row>
    <row r="32">
      <c r="A32" s="36" t="s">
        <v>151</v>
      </c>
      <c r="B32" s="36" t="s">
        <v>152</v>
      </c>
      <c r="C32" s="25">
        <v>1.0</v>
      </c>
      <c r="D32" s="36" t="s">
        <v>82</v>
      </c>
    </row>
    <row r="33">
      <c r="A33" s="36" t="s">
        <v>153</v>
      </c>
      <c r="B33" s="36" t="s">
        <v>154</v>
      </c>
      <c r="C33" s="25">
        <v>1.0</v>
      </c>
      <c r="D33" s="36" t="s">
        <v>82</v>
      </c>
    </row>
    <row r="34">
      <c r="A34" s="36" t="s">
        <v>157</v>
      </c>
      <c r="B34" s="36" t="s">
        <v>158</v>
      </c>
      <c r="C34" s="25">
        <v>1.0</v>
      </c>
      <c r="D34" s="36" t="s">
        <v>82</v>
      </c>
    </row>
    <row r="35">
      <c r="A35" s="36" t="s">
        <v>159</v>
      </c>
      <c r="B35" s="36" t="s">
        <v>160</v>
      </c>
      <c r="C35" s="25">
        <v>1.0</v>
      </c>
      <c r="D35" s="36" t="s">
        <v>82</v>
      </c>
    </row>
    <row r="36">
      <c r="A36" s="36" t="s">
        <v>161</v>
      </c>
      <c r="B36" s="36" t="s">
        <v>162</v>
      </c>
      <c r="C36" s="25">
        <v>1.0</v>
      </c>
      <c r="D36" s="36" t="s">
        <v>82</v>
      </c>
    </row>
    <row r="37">
      <c r="A37" s="36" t="s">
        <v>163</v>
      </c>
      <c r="B37" s="36" t="s">
        <v>164</v>
      </c>
      <c r="C37" s="25">
        <v>1.0</v>
      </c>
      <c r="D37" s="36" t="s">
        <v>82</v>
      </c>
    </row>
    <row r="38">
      <c r="A38" s="36" t="s">
        <v>165</v>
      </c>
      <c r="B38" s="36" t="s">
        <v>167</v>
      </c>
      <c r="C38" s="25">
        <v>2.0</v>
      </c>
      <c r="D38" s="36" t="s">
        <v>169</v>
      </c>
    </row>
    <row r="39">
      <c r="A39" s="36" t="s">
        <v>170</v>
      </c>
      <c r="B39" s="36" t="s">
        <v>171</v>
      </c>
      <c r="C39" s="25">
        <v>3.0</v>
      </c>
      <c r="D39" s="36" t="s">
        <v>172</v>
      </c>
    </row>
    <row r="40">
      <c r="A40" s="36" t="s">
        <v>173</v>
      </c>
      <c r="B40" s="36" t="s">
        <v>174</v>
      </c>
      <c r="C40" s="25">
        <v>1.0</v>
      </c>
      <c r="D40" s="36" t="s">
        <v>82</v>
      </c>
    </row>
    <row r="41">
      <c r="A41" s="36" t="s">
        <v>175</v>
      </c>
      <c r="B41" s="36" t="s">
        <v>176</v>
      </c>
      <c r="C41" s="25">
        <v>1.0</v>
      </c>
      <c r="D41" s="36" t="s">
        <v>82</v>
      </c>
    </row>
    <row r="42">
      <c r="A42" s="36" t="s">
        <v>177</v>
      </c>
      <c r="B42" s="36" t="s">
        <v>178</v>
      </c>
      <c r="C42" s="25">
        <v>1.0</v>
      </c>
      <c r="D42" s="36" t="s">
        <v>82</v>
      </c>
    </row>
    <row r="43">
      <c r="A43" s="36" t="s">
        <v>179</v>
      </c>
      <c r="B43" s="36" t="s">
        <v>180</v>
      </c>
      <c r="C43" s="25">
        <v>1.0</v>
      </c>
      <c r="D43" s="36" t="s">
        <v>82</v>
      </c>
    </row>
    <row r="44">
      <c r="A44" s="36" t="s">
        <v>182</v>
      </c>
      <c r="B44" s="36" t="s">
        <v>183</v>
      </c>
      <c r="C44" s="25">
        <v>1.0</v>
      </c>
      <c r="D44" s="36" t="s">
        <v>82</v>
      </c>
    </row>
    <row r="45">
      <c r="A45" s="36" t="s">
        <v>184</v>
      </c>
      <c r="B45" s="36" t="s">
        <v>185</v>
      </c>
      <c r="C45" s="25">
        <v>1.0</v>
      </c>
      <c r="D45" s="36" t="s">
        <v>82</v>
      </c>
    </row>
    <row r="46">
      <c r="A46" s="36" t="s">
        <v>186</v>
      </c>
      <c r="B46" s="36" t="s">
        <v>187</v>
      </c>
      <c r="C46" s="25">
        <v>1.0</v>
      </c>
      <c r="D46" s="36" t="s">
        <v>188</v>
      </c>
    </row>
    <row r="47">
      <c r="A47" s="36" t="s">
        <v>189</v>
      </c>
      <c r="B47" s="36" t="s">
        <v>190</v>
      </c>
      <c r="C47" s="25">
        <v>1.0</v>
      </c>
      <c r="D47" s="36" t="s">
        <v>82</v>
      </c>
    </row>
    <row r="48">
      <c r="A48" s="36" t="s">
        <v>191</v>
      </c>
      <c r="B48" s="36" t="s">
        <v>192</v>
      </c>
      <c r="C48" s="25">
        <v>1.0</v>
      </c>
      <c r="D48" s="36" t="s">
        <v>82</v>
      </c>
    </row>
    <row r="49">
      <c r="A49" s="36" t="s">
        <v>193</v>
      </c>
      <c r="B49" s="36" t="s">
        <v>194</v>
      </c>
      <c r="C49" s="25">
        <v>1.0</v>
      </c>
      <c r="D49" s="36" t="s">
        <v>82</v>
      </c>
    </row>
    <row r="50">
      <c r="A50" s="36" t="s">
        <v>196</v>
      </c>
      <c r="B50" s="36" t="s">
        <v>197</v>
      </c>
      <c r="C50" s="25">
        <v>1.0</v>
      </c>
      <c r="D50" s="36" t="s">
        <v>82</v>
      </c>
    </row>
    <row r="51">
      <c r="A51" s="36" t="s">
        <v>199</v>
      </c>
      <c r="B51" s="36" t="s">
        <v>200</v>
      </c>
      <c r="C51" s="25">
        <v>1.0</v>
      </c>
      <c r="D51" s="36" t="s">
        <v>82</v>
      </c>
    </row>
    <row r="52">
      <c r="A52" s="36" t="s">
        <v>201</v>
      </c>
      <c r="B52" s="36" t="s">
        <v>202</v>
      </c>
      <c r="C52" s="25">
        <v>2.0</v>
      </c>
      <c r="D52" s="36" t="s">
        <v>203</v>
      </c>
    </row>
    <row r="53">
      <c r="A53" s="36" t="s">
        <v>204</v>
      </c>
      <c r="B53" s="36" t="s">
        <v>205</v>
      </c>
      <c r="C53" s="25">
        <v>1.0</v>
      </c>
      <c r="D53" s="36" t="s">
        <v>82</v>
      </c>
    </row>
    <row r="54">
      <c r="A54" s="36" t="s">
        <v>206</v>
      </c>
      <c r="B54" s="36" t="s">
        <v>207</v>
      </c>
      <c r="C54" s="25">
        <v>1.0</v>
      </c>
      <c r="D54" s="36" t="s">
        <v>82</v>
      </c>
    </row>
    <row r="55">
      <c r="A55" s="36" t="s">
        <v>208</v>
      </c>
      <c r="B55" s="36" t="s">
        <v>209</v>
      </c>
      <c r="C55" s="25">
        <v>1.0</v>
      </c>
      <c r="D55" s="36" t="s">
        <v>82</v>
      </c>
    </row>
    <row r="56">
      <c r="A56" s="36" t="s">
        <v>210</v>
      </c>
      <c r="B56" s="36" t="s">
        <v>212</v>
      </c>
      <c r="C56" s="25">
        <v>1.0</v>
      </c>
      <c r="D56" s="36" t="s">
        <v>82</v>
      </c>
    </row>
    <row r="57">
      <c r="A57" s="36" t="s">
        <v>213</v>
      </c>
      <c r="B57" s="36" t="s">
        <v>214</v>
      </c>
      <c r="C57" s="25">
        <v>1.0</v>
      </c>
      <c r="D57" s="36" t="s">
        <v>82</v>
      </c>
    </row>
    <row r="58">
      <c r="A58" s="36" t="s">
        <v>215</v>
      </c>
      <c r="B58" s="36" t="s">
        <v>216</v>
      </c>
      <c r="C58" s="25">
        <v>1.0</v>
      </c>
      <c r="D58" s="36" t="s">
        <v>82</v>
      </c>
    </row>
    <row r="59">
      <c r="A59" s="36" t="s">
        <v>217</v>
      </c>
      <c r="B59" s="36" t="s">
        <v>218</v>
      </c>
      <c r="C59" s="25">
        <v>1.0</v>
      </c>
      <c r="D59" s="36" t="s">
        <v>82</v>
      </c>
    </row>
    <row r="60">
      <c r="A60" s="36" t="s">
        <v>219</v>
      </c>
      <c r="B60" s="36" t="s">
        <v>220</v>
      </c>
      <c r="C60" s="25">
        <v>1.0</v>
      </c>
      <c r="D60" s="36" t="s">
        <v>82</v>
      </c>
    </row>
    <row r="61">
      <c r="A61" s="36" t="s">
        <v>221</v>
      </c>
      <c r="B61" s="36" t="s">
        <v>222</v>
      </c>
      <c r="C61" s="25">
        <v>1.0</v>
      </c>
      <c r="D61" s="36" t="s">
        <v>223</v>
      </c>
    </row>
    <row r="62">
      <c r="A62" s="36" t="s">
        <v>224</v>
      </c>
      <c r="B62" s="36" t="s">
        <v>225</v>
      </c>
      <c r="C62" s="25">
        <v>1.0</v>
      </c>
      <c r="D62" s="36" t="s">
        <v>82</v>
      </c>
    </row>
    <row r="63">
      <c r="A63" s="36" t="s">
        <v>226</v>
      </c>
      <c r="B63" s="36" t="s">
        <v>228</v>
      </c>
      <c r="C63" s="25">
        <v>1.0</v>
      </c>
      <c r="D63" s="36" t="s">
        <v>82</v>
      </c>
    </row>
    <row r="64">
      <c r="A64" s="36" t="s">
        <v>230</v>
      </c>
      <c r="B64" s="36" t="s">
        <v>231</v>
      </c>
      <c r="C64" s="25">
        <v>1.0</v>
      </c>
      <c r="D64" s="36" t="s">
        <v>82</v>
      </c>
    </row>
    <row r="65">
      <c r="A65" s="36" t="s">
        <v>232</v>
      </c>
      <c r="B65" s="36" t="s">
        <v>233</v>
      </c>
      <c r="C65" s="25">
        <v>1.0</v>
      </c>
      <c r="D65" s="36" t="s">
        <v>82</v>
      </c>
    </row>
    <row r="66">
      <c r="A66" s="36" t="s">
        <v>234</v>
      </c>
      <c r="B66" s="36" t="s">
        <v>235</v>
      </c>
      <c r="C66" s="25">
        <v>1.0</v>
      </c>
      <c r="D66" s="36" t="s">
        <v>82</v>
      </c>
    </row>
    <row r="67">
      <c r="A67" s="36" t="s">
        <v>236</v>
      </c>
      <c r="B67" s="36" t="s">
        <v>237</v>
      </c>
      <c r="C67" s="25">
        <v>1.0</v>
      </c>
      <c r="D67" s="36" t="s">
        <v>82</v>
      </c>
    </row>
    <row r="68">
      <c r="A68" s="36" t="s">
        <v>238</v>
      </c>
      <c r="B68" s="36" t="s">
        <v>239</v>
      </c>
      <c r="C68" s="25">
        <v>1.0</v>
      </c>
      <c r="D68" s="36" t="s">
        <v>82</v>
      </c>
    </row>
    <row r="69">
      <c r="A69" s="36" t="s">
        <v>240</v>
      </c>
      <c r="B69" s="36" t="s">
        <v>241</v>
      </c>
      <c r="C69" s="25">
        <v>1.0</v>
      </c>
      <c r="D69" s="36" t="s">
        <v>82</v>
      </c>
    </row>
    <row r="70">
      <c r="A70" s="36" t="s">
        <v>242</v>
      </c>
      <c r="B70" s="36" t="s">
        <v>243</v>
      </c>
      <c r="C70" s="25">
        <v>1.0</v>
      </c>
      <c r="D70" s="36" t="s">
        <v>82</v>
      </c>
    </row>
    <row r="71">
      <c r="A71" s="36" t="s">
        <v>244</v>
      </c>
      <c r="B71" s="36" t="s">
        <v>245</v>
      </c>
      <c r="C71" s="25">
        <v>1.0</v>
      </c>
      <c r="D71" s="36" t="s">
        <v>82</v>
      </c>
    </row>
    <row r="72">
      <c r="A72" s="36" t="s">
        <v>247</v>
      </c>
      <c r="B72" s="36" t="s">
        <v>248</v>
      </c>
      <c r="C72" s="25">
        <v>1.0</v>
      </c>
      <c r="D72" s="36" t="s">
        <v>82</v>
      </c>
    </row>
    <row r="73">
      <c r="A73" s="36" t="s">
        <v>249</v>
      </c>
      <c r="B73" s="36" t="s">
        <v>250</v>
      </c>
      <c r="C73" s="25">
        <v>1.0</v>
      </c>
      <c r="D73" s="36" t="s">
        <v>82</v>
      </c>
    </row>
    <row r="74">
      <c r="A74" s="36" t="s">
        <v>251</v>
      </c>
      <c r="B74" s="36" t="s">
        <v>252</v>
      </c>
      <c r="C74" s="25">
        <v>1.0</v>
      </c>
      <c r="D74" s="36" t="s">
        <v>82</v>
      </c>
    </row>
    <row r="75">
      <c r="A75" s="36" t="s">
        <v>253</v>
      </c>
      <c r="B75" s="36" t="s">
        <v>254</v>
      </c>
      <c r="C75" s="25">
        <v>1.0</v>
      </c>
      <c r="D75" s="36" t="s">
        <v>82</v>
      </c>
    </row>
    <row r="76">
      <c r="A76" s="36" t="s">
        <v>255</v>
      </c>
      <c r="B76" s="36" t="s">
        <v>256</v>
      </c>
      <c r="C76" s="25">
        <v>1.0</v>
      </c>
      <c r="D76" s="36" t="s">
        <v>82</v>
      </c>
    </row>
    <row r="77">
      <c r="A77" s="36" t="s">
        <v>257</v>
      </c>
      <c r="B77" s="36" t="s">
        <v>258</v>
      </c>
      <c r="C77" s="25">
        <v>1.0</v>
      </c>
      <c r="D77" s="36" t="s">
        <v>82</v>
      </c>
    </row>
    <row r="78">
      <c r="A78" s="36" t="s">
        <v>260</v>
      </c>
      <c r="B78" s="36" t="s">
        <v>261</v>
      </c>
      <c r="C78" s="25">
        <v>2.0</v>
      </c>
      <c r="D78" s="36" t="s">
        <v>169</v>
      </c>
    </row>
    <row r="79">
      <c r="A79" s="36" t="s">
        <v>263</v>
      </c>
      <c r="B79" s="36" t="s">
        <v>264</v>
      </c>
      <c r="C79" s="25">
        <v>1.0</v>
      </c>
      <c r="D79" s="36" t="s">
        <v>82</v>
      </c>
    </row>
    <row r="80">
      <c r="A80" s="36" t="s">
        <v>265</v>
      </c>
      <c r="B80" s="36" t="s">
        <v>266</v>
      </c>
      <c r="C80" s="25">
        <v>1.0</v>
      </c>
      <c r="D80" s="36" t="s">
        <v>82</v>
      </c>
    </row>
    <row r="81">
      <c r="A81" s="36" t="s">
        <v>267</v>
      </c>
      <c r="B81" s="36" t="s">
        <v>268</v>
      </c>
      <c r="C81" s="25">
        <v>1.0</v>
      </c>
      <c r="D81" s="36" t="s">
        <v>82</v>
      </c>
    </row>
    <row r="82">
      <c r="A82" s="36" t="s">
        <v>269</v>
      </c>
      <c r="B82" s="36" t="s">
        <v>270</v>
      </c>
      <c r="C82" s="25">
        <v>1.0</v>
      </c>
      <c r="D82" s="36" t="s">
        <v>82</v>
      </c>
    </row>
    <row r="83">
      <c r="A83" s="36" t="s">
        <v>271</v>
      </c>
      <c r="B83" s="36" t="s">
        <v>272</v>
      </c>
      <c r="C83" s="25">
        <v>1.0</v>
      </c>
      <c r="D83" s="36" t="s">
        <v>82</v>
      </c>
    </row>
    <row r="84">
      <c r="A84" s="36" t="s">
        <v>273</v>
      </c>
      <c r="B84" s="36" t="s">
        <v>274</v>
      </c>
      <c r="C84" s="25">
        <v>1.0</v>
      </c>
      <c r="D84" s="36" t="s">
        <v>223</v>
      </c>
    </row>
    <row r="85">
      <c r="A85" s="36" t="s">
        <v>277</v>
      </c>
      <c r="B85" s="36" t="s">
        <v>278</v>
      </c>
      <c r="C85" s="25">
        <v>1.0</v>
      </c>
      <c r="D85" s="36" t="s">
        <v>82</v>
      </c>
    </row>
    <row r="86">
      <c r="A86" s="36" t="s">
        <v>279</v>
      </c>
      <c r="B86" s="36" t="s">
        <v>280</v>
      </c>
      <c r="C86" s="25">
        <v>1.0</v>
      </c>
      <c r="D86" s="36" t="s">
        <v>82</v>
      </c>
    </row>
    <row r="87">
      <c r="A87" s="36" t="s">
        <v>281</v>
      </c>
      <c r="B87" s="36" t="s">
        <v>282</v>
      </c>
      <c r="C87" s="25">
        <v>1.0</v>
      </c>
      <c r="D87" s="36" t="s">
        <v>82</v>
      </c>
    </row>
    <row r="88">
      <c r="A88" s="36" t="s">
        <v>283</v>
      </c>
      <c r="B88" s="36" t="s">
        <v>284</v>
      </c>
      <c r="C88" s="25">
        <v>1.0</v>
      </c>
      <c r="D88" s="36" t="s">
        <v>82</v>
      </c>
    </row>
    <row r="89">
      <c r="A89" s="36" t="s">
        <v>285</v>
      </c>
      <c r="B89" s="36" t="s">
        <v>286</v>
      </c>
      <c r="C89" s="25">
        <v>1.0</v>
      </c>
      <c r="D89" s="36" t="s">
        <v>82</v>
      </c>
    </row>
    <row r="90">
      <c r="A90" s="36" t="s">
        <v>287</v>
      </c>
      <c r="B90" s="36" t="s">
        <v>288</v>
      </c>
      <c r="C90" s="25">
        <v>1.0</v>
      </c>
      <c r="D90" s="36" t="s">
        <v>223</v>
      </c>
    </row>
    <row r="91">
      <c r="A91" s="36" t="s">
        <v>290</v>
      </c>
      <c r="B91" s="36" t="s">
        <v>291</v>
      </c>
      <c r="C91" s="25">
        <v>1.0</v>
      </c>
      <c r="D91" s="36" t="s">
        <v>82</v>
      </c>
    </row>
    <row r="92">
      <c r="A92" s="36" t="s">
        <v>292</v>
      </c>
      <c r="B92" s="36" t="s">
        <v>293</v>
      </c>
      <c r="C92" s="25">
        <v>1.0</v>
      </c>
      <c r="D92" s="36" t="s">
        <v>82</v>
      </c>
    </row>
    <row r="93">
      <c r="A93" s="36" t="s">
        <v>294</v>
      </c>
      <c r="B93" s="36" t="s">
        <v>295</v>
      </c>
      <c r="C93" s="25">
        <v>1.0</v>
      </c>
      <c r="D93" s="36" t="s">
        <v>82</v>
      </c>
    </row>
    <row r="94">
      <c r="A94" s="36" t="s">
        <v>296</v>
      </c>
      <c r="B94" s="36" t="s">
        <v>297</v>
      </c>
      <c r="C94" s="25">
        <v>1.0</v>
      </c>
      <c r="D94" s="36" t="s">
        <v>82</v>
      </c>
    </row>
    <row r="95">
      <c r="A95" s="36" t="s">
        <v>68</v>
      </c>
      <c r="B95" s="36" t="s">
        <v>298</v>
      </c>
      <c r="C95" s="25">
        <v>1.0</v>
      </c>
      <c r="D95" s="36" t="s">
        <v>82</v>
      </c>
    </row>
    <row r="96">
      <c r="A96" s="36" t="s">
        <v>299</v>
      </c>
      <c r="B96" s="36" t="s">
        <v>300</v>
      </c>
      <c r="C96" s="25">
        <v>1.0</v>
      </c>
      <c r="D96" s="36" t="s">
        <v>82</v>
      </c>
    </row>
    <row r="97">
      <c r="A97" s="36" t="s">
        <v>302</v>
      </c>
      <c r="B97" s="36" t="s">
        <v>303</v>
      </c>
      <c r="C97" s="25">
        <v>1.0</v>
      </c>
      <c r="D97" s="36" t="s">
        <v>82</v>
      </c>
    </row>
    <row r="98">
      <c r="A98" s="36" t="s">
        <v>304</v>
      </c>
      <c r="B98" s="36" t="s">
        <v>305</v>
      </c>
      <c r="C98" s="25">
        <v>1.0</v>
      </c>
      <c r="D98" s="36" t="s">
        <v>82</v>
      </c>
    </row>
    <row r="99">
      <c r="A99" s="36" t="s">
        <v>306</v>
      </c>
      <c r="B99" s="36" t="s">
        <v>307</v>
      </c>
      <c r="C99" s="25">
        <v>1.0</v>
      </c>
      <c r="D99" s="36" t="s">
        <v>82</v>
      </c>
    </row>
    <row r="100">
      <c r="A100" s="36" t="s">
        <v>308</v>
      </c>
      <c r="B100" s="36" t="s">
        <v>309</v>
      </c>
      <c r="C100" s="25">
        <v>2.0</v>
      </c>
      <c r="D100" s="36" t="s">
        <v>169</v>
      </c>
    </row>
    <row r="101">
      <c r="A101" s="36" t="s">
        <v>310</v>
      </c>
      <c r="B101" s="36" t="s">
        <v>311</v>
      </c>
      <c r="C101" s="25">
        <v>1.0</v>
      </c>
      <c r="D101" s="36" t="s">
        <v>82</v>
      </c>
    </row>
    <row r="102">
      <c r="A102" s="36" t="s">
        <v>312</v>
      </c>
      <c r="B102" s="36" t="s">
        <v>313</v>
      </c>
      <c r="C102" s="25">
        <v>1.0</v>
      </c>
      <c r="D102" s="36" t="s">
        <v>82</v>
      </c>
    </row>
    <row r="103">
      <c r="A103" s="36" t="s">
        <v>314</v>
      </c>
      <c r="B103" s="36" t="s">
        <v>315</v>
      </c>
      <c r="C103" s="25">
        <v>1.0</v>
      </c>
      <c r="D103" s="36" t="s">
        <v>82</v>
      </c>
    </row>
    <row r="104">
      <c r="A104" s="36" t="s">
        <v>317</v>
      </c>
      <c r="B104" s="36" t="s">
        <v>318</v>
      </c>
      <c r="C104" s="25">
        <v>1.0</v>
      </c>
      <c r="D104" s="36" t="s">
        <v>82</v>
      </c>
    </row>
    <row r="105">
      <c r="A105" s="36" t="s">
        <v>198</v>
      </c>
      <c r="B105" s="36" t="s">
        <v>320</v>
      </c>
      <c r="C105" s="25">
        <v>1.0</v>
      </c>
      <c r="D105" s="36" t="s">
        <v>82</v>
      </c>
    </row>
    <row r="106">
      <c r="A106" s="36" t="s">
        <v>321</v>
      </c>
      <c r="B106" s="36" t="s">
        <v>322</v>
      </c>
      <c r="C106" s="25">
        <v>1.0</v>
      </c>
      <c r="D106" s="36" t="s">
        <v>82</v>
      </c>
    </row>
    <row r="107">
      <c r="A107" s="36" t="s">
        <v>323</v>
      </c>
      <c r="B107" s="36" t="s">
        <v>324</v>
      </c>
      <c r="C107" s="25">
        <v>1.0</v>
      </c>
      <c r="D107" s="36" t="s">
        <v>82</v>
      </c>
    </row>
    <row r="108">
      <c r="A108" s="36" t="s">
        <v>325</v>
      </c>
      <c r="B108" s="36" t="s">
        <v>326</v>
      </c>
      <c r="C108" s="25">
        <v>1.0</v>
      </c>
      <c r="D108" s="36" t="s">
        <v>82</v>
      </c>
    </row>
    <row r="109">
      <c r="A109" s="36" t="s">
        <v>327</v>
      </c>
      <c r="B109" s="36" t="s">
        <v>328</v>
      </c>
      <c r="C109" s="25">
        <v>1.0</v>
      </c>
      <c r="D109" s="36" t="s">
        <v>82</v>
      </c>
    </row>
    <row r="110">
      <c r="A110" s="36" t="s">
        <v>331</v>
      </c>
      <c r="B110" s="36" t="s">
        <v>332</v>
      </c>
      <c r="C110" s="25">
        <v>1.0</v>
      </c>
      <c r="D110" s="36" t="s">
        <v>82</v>
      </c>
    </row>
    <row r="111">
      <c r="A111" s="36" t="s">
        <v>333</v>
      </c>
      <c r="B111" s="36" t="s">
        <v>334</v>
      </c>
      <c r="C111" s="25">
        <v>1.0</v>
      </c>
      <c r="D111" s="36" t="s">
        <v>82</v>
      </c>
    </row>
    <row r="112">
      <c r="A112" s="36" t="s">
        <v>335</v>
      </c>
      <c r="B112" s="36" t="s">
        <v>336</v>
      </c>
      <c r="C112" s="25">
        <v>1.0</v>
      </c>
      <c r="D112" s="36" t="s">
        <v>82</v>
      </c>
    </row>
    <row r="113">
      <c r="A113" s="36" t="s">
        <v>337</v>
      </c>
      <c r="B113" s="36" t="s">
        <v>338</v>
      </c>
      <c r="C113" s="25">
        <v>1.0</v>
      </c>
      <c r="D113" s="36" t="s">
        <v>82</v>
      </c>
    </row>
    <row r="114">
      <c r="A114" s="36" t="s">
        <v>340</v>
      </c>
      <c r="B114" s="36" t="s">
        <v>341</v>
      </c>
      <c r="C114" s="25">
        <v>1.0</v>
      </c>
      <c r="D114" s="36" t="s">
        <v>342</v>
      </c>
    </row>
    <row r="115">
      <c r="A115" s="36" t="s">
        <v>343</v>
      </c>
      <c r="B115" s="36" t="s">
        <v>344</v>
      </c>
      <c r="C115" s="25">
        <v>1.0</v>
      </c>
      <c r="D115" s="36" t="s">
        <v>82</v>
      </c>
    </row>
    <row r="116">
      <c r="A116" s="36" t="s">
        <v>345</v>
      </c>
      <c r="B116" s="36" t="s">
        <v>346</v>
      </c>
      <c r="C116" s="25">
        <v>1.0</v>
      </c>
      <c r="D116" s="36" t="s">
        <v>82</v>
      </c>
    </row>
    <row r="117">
      <c r="A117" s="36" t="s">
        <v>347</v>
      </c>
      <c r="B117" s="36" t="s">
        <v>348</v>
      </c>
      <c r="C117" s="25">
        <v>1.0</v>
      </c>
      <c r="D117" s="36" t="s">
        <v>82</v>
      </c>
    </row>
    <row r="118">
      <c r="A118" s="36" t="s">
        <v>350</v>
      </c>
      <c r="B118" s="36" t="s">
        <v>352</v>
      </c>
      <c r="C118" s="25">
        <v>1.0</v>
      </c>
      <c r="D118" s="36" t="s">
        <v>82</v>
      </c>
    </row>
    <row r="119">
      <c r="A119" s="36" t="s">
        <v>353</v>
      </c>
      <c r="B119" s="36" t="s">
        <v>354</v>
      </c>
      <c r="C119" s="25">
        <v>1.0</v>
      </c>
      <c r="D119" s="36" t="s">
        <v>223</v>
      </c>
    </row>
    <row r="120">
      <c r="A120" s="36" t="s">
        <v>106</v>
      </c>
      <c r="B120" s="36" t="s">
        <v>355</v>
      </c>
      <c r="C120" s="25">
        <v>1.0</v>
      </c>
      <c r="D120" s="36" t="s">
        <v>82</v>
      </c>
    </row>
    <row r="121">
      <c r="A121" s="36" t="s">
        <v>356</v>
      </c>
      <c r="B121" s="36" t="s">
        <v>357</v>
      </c>
      <c r="C121" s="25">
        <v>1.0</v>
      </c>
      <c r="D121" s="36" t="s">
        <v>82</v>
      </c>
    </row>
    <row r="122">
      <c r="A122" s="36" t="s">
        <v>358</v>
      </c>
      <c r="B122" s="36" t="s">
        <v>359</v>
      </c>
      <c r="C122" s="25">
        <v>1.0</v>
      </c>
      <c r="D122" s="36" t="s">
        <v>361</v>
      </c>
    </row>
    <row r="123">
      <c r="A123" s="36" t="s">
        <v>362</v>
      </c>
      <c r="B123" s="36" t="s">
        <v>364</v>
      </c>
      <c r="C123" s="25">
        <v>1.0</v>
      </c>
      <c r="D123" s="36" t="s">
        <v>82</v>
      </c>
    </row>
    <row r="124">
      <c r="A124" s="36" t="s">
        <v>365</v>
      </c>
      <c r="B124" s="36" t="s">
        <v>366</v>
      </c>
      <c r="C124" s="25">
        <v>1.0</v>
      </c>
      <c r="D124" s="36" t="s">
        <v>82</v>
      </c>
    </row>
    <row r="125">
      <c r="A125" s="36" t="s">
        <v>367</v>
      </c>
      <c r="B125" s="36" t="s">
        <v>368</v>
      </c>
      <c r="C125" s="25">
        <v>1.0</v>
      </c>
      <c r="D125" s="36" t="s">
        <v>369</v>
      </c>
    </row>
    <row r="126">
      <c r="A126" s="36" t="s">
        <v>370</v>
      </c>
      <c r="B126" s="36" t="s">
        <v>371</v>
      </c>
      <c r="C126" s="25">
        <v>1.0</v>
      </c>
      <c r="D126" s="36" t="s">
        <v>82</v>
      </c>
    </row>
    <row r="127">
      <c r="A127" s="36" t="s">
        <v>372</v>
      </c>
      <c r="B127" s="36" t="s">
        <v>373</v>
      </c>
      <c r="C127" s="25">
        <v>1.0</v>
      </c>
      <c r="D127" s="36" t="s">
        <v>82</v>
      </c>
    </row>
    <row r="128">
      <c r="A128" s="36" t="s">
        <v>374</v>
      </c>
      <c r="B128" s="36" t="s">
        <v>375</v>
      </c>
      <c r="C128" s="25">
        <v>2.0</v>
      </c>
      <c r="D128" s="36" t="s">
        <v>376</v>
      </c>
    </row>
    <row r="129">
      <c r="A129" s="36" t="s">
        <v>377</v>
      </c>
      <c r="B129" s="36" t="s">
        <v>379</v>
      </c>
      <c r="C129" s="25">
        <v>1.0</v>
      </c>
      <c r="D129" s="36" t="s">
        <v>82</v>
      </c>
    </row>
    <row r="130">
      <c r="A130" s="36" t="s">
        <v>381</v>
      </c>
      <c r="B130" s="36" t="s">
        <v>382</v>
      </c>
      <c r="C130" s="25">
        <v>1.0</v>
      </c>
      <c r="D130" s="36" t="s">
        <v>82</v>
      </c>
    </row>
    <row r="131">
      <c r="A131" s="36" t="s">
        <v>383</v>
      </c>
      <c r="B131" s="36" t="s">
        <v>384</v>
      </c>
      <c r="C131" s="25">
        <v>1.0</v>
      </c>
      <c r="D131" s="36" t="s">
        <v>82</v>
      </c>
    </row>
    <row r="132">
      <c r="A132" s="36" t="s">
        <v>385</v>
      </c>
      <c r="B132" s="36" t="s">
        <v>386</v>
      </c>
      <c r="C132" s="25">
        <v>1.0</v>
      </c>
      <c r="D132" s="36" t="s">
        <v>82</v>
      </c>
    </row>
    <row r="133">
      <c r="A133" s="36" t="s">
        <v>387</v>
      </c>
      <c r="B133" s="36" t="s">
        <v>388</v>
      </c>
      <c r="C133" s="25">
        <v>1.0</v>
      </c>
      <c r="D133" s="36" t="s">
        <v>82</v>
      </c>
    </row>
    <row r="134">
      <c r="A134" s="36" t="s">
        <v>25</v>
      </c>
      <c r="B134" s="36" t="s">
        <v>389</v>
      </c>
      <c r="C134" s="25">
        <v>1.0</v>
      </c>
      <c r="D134" s="36" t="s">
        <v>82</v>
      </c>
    </row>
    <row r="135">
      <c r="A135" s="36" t="s">
        <v>391</v>
      </c>
      <c r="B135" s="36" t="s">
        <v>393</v>
      </c>
      <c r="C135" s="25">
        <v>1.0</v>
      </c>
      <c r="D135" s="36" t="s">
        <v>82</v>
      </c>
    </row>
    <row r="136">
      <c r="A136" s="36" t="s">
        <v>394</v>
      </c>
      <c r="B136" s="36" t="s">
        <v>395</v>
      </c>
      <c r="C136" s="25">
        <v>1.0</v>
      </c>
      <c r="D136" s="36" t="s">
        <v>82</v>
      </c>
    </row>
    <row r="137">
      <c r="A137" s="36" t="s">
        <v>396</v>
      </c>
      <c r="B137" s="36" t="s">
        <v>397</v>
      </c>
      <c r="C137" s="25">
        <v>1.0</v>
      </c>
      <c r="D137" s="36" t="s">
        <v>82</v>
      </c>
    </row>
    <row r="138">
      <c r="A138" s="36" t="s">
        <v>398</v>
      </c>
      <c r="B138" s="36" t="s">
        <v>399</v>
      </c>
      <c r="C138" s="25">
        <v>1.0</v>
      </c>
      <c r="D138" s="36" t="s">
        <v>82</v>
      </c>
    </row>
    <row r="139">
      <c r="A139" s="36" t="s">
        <v>400</v>
      </c>
      <c r="B139" s="36" t="s">
        <v>401</v>
      </c>
      <c r="C139" s="25">
        <v>1.0</v>
      </c>
      <c r="D139" s="36" t="s">
        <v>82</v>
      </c>
    </row>
    <row r="140">
      <c r="A140" s="36" t="s">
        <v>404</v>
      </c>
      <c r="B140" s="36" t="s">
        <v>405</v>
      </c>
      <c r="C140" s="25">
        <v>1.0</v>
      </c>
      <c r="D140" s="36" t="s">
        <v>82</v>
      </c>
    </row>
    <row r="141">
      <c r="A141" s="36" t="s">
        <v>406</v>
      </c>
      <c r="B141" s="36" t="s">
        <v>407</v>
      </c>
      <c r="C141" s="25">
        <v>1.0</v>
      </c>
      <c r="D141" s="36" t="s">
        <v>150</v>
      </c>
    </row>
    <row r="142">
      <c r="A142" s="36" t="s">
        <v>408</v>
      </c>
      <c r="B142" s="36" t="s">
        <v>409</v>
      </c>
      <c r="C142" s="25">
        <v>1.0</v>
      </c>
      <c r="D142" s="36" t="s">
        <v>82</v>
      </c>
    </row>
    <row r="143">
      <c r="A143" s="36" t="s">
        <v>410</v>
      </c>
      <c r="B143" s="36" t="s">
        <v>411</v>
      </c>
      <c r="C143" s="25">
        <v>1.0</v>
      </c>
      <c r="D143" s="36" t="s">
        <v>82</v>
      </c>
    </row>
    <row r="144">
      <c r="A144" s="36" t="s">
        <v>412</v>
      </c>
      <c r="B144" s="36" t="s">
        <v>413</v>
      </c>
      <c r="C144" s="25">
        <v>1.0</v>
      </c>
      <c r="D144" s="36" t="s">
        <v>82</v>
      </c>
    </row>
    <row r="145">
      <c r="A145" s="36" t="s">
        <v>414</v>
      </c>
      <c r="B145" s="36" t="s">
        <v>416</v>
      </c>
      <c r="C145" s="25">
        <v>2.0</v>
      </c>
      <c r="D145" s="36" t="s">
        <v>169</v>
      </c>
    </row>
    <row r="146">
      <c r="A146" s="36" t="s">
        <v>418</v>
      </c>
      <c r="B146" s="36" t="s">
        <v>419</v>
      </c>
      <c r="C146" s="25">
        <v>1.0</v>
      </c>
      <c r="D146" s="36" t="s">
        <v>82</v>
      </c>
    </row>
    <row r="147">
      <c r="A147" s="36" t="s">
        <v>420</v>
      </c>
      <c r="B147" s="36" t="s">
        <v>421</v>
      </c>
      <c r="C147" s="25">
        <v>1.0</v>
      </c>
      <c r="D147" s="36" t="s">
        <v>82</v>
      </c>
    </row>
    <row r="148">
      <c r="A148" s="36" t="s">
        <v>422</v>
      </c>
      <c r="B148" s="36" t="s">
        <v>423</v>
      </c>
      <c r="C148" s="25">
        <v>1.0</v>
      </c>
      <c r="D148" s="36" t="s">
        <v>82</v>
      </c>
    </row>
    <row r="149">
      <c r="A149" s="36" t="s">
        <v>424</v>
      </c>
      <c r="B149" s="36" t="s">
        <v>425</v>
      </c>
      <c r="C149" s="25">
        <v>1.0</v>
      </c>
      <c r="D149" s="36" t="s">
        <v>82</v>
      </c>
    </row>
    <row r="150">
      <c r="A150" s="36" t="s">
        <v>426</v>
      </c>
      <c r="B150" s="36" t="s">
        <v>427</v>
      </c>
      <c r="C150" s="25">
        <v>1.0</v>
      </c>
      <c r="D150" s="36" t="s">
        <v>82</v>
      </c>
    </row>
    <row r="151">
      <c r="A151" s="36" t="s">
        <v>428</v>
      </c>
      <c r="B151" s="36" t="s">
        <v>429</v>
      </c>
      <c r="C151" s="25">
        <v>1.0</v>
      </c>
      <c r="D151" s="36" t="s">
        <v>82</v>
      </c>
    </row>
    <row r="152">
      <c r="A152" s="36" t="s">
        <v>431</v>
      </c>
      <c r="B152" s="36" t="s">
        <v>433</v>
      </c>
      <c r="C152" s="25">
        <v>1.0</v>
      </c>
      <c r="D152" s="36" t="s">
        <v>82</v>
      </c>
    </row>
    <row r="153">
      <c r="A153" s="36" t="s">
        <v>434</v>
      </c>
      <c r="B153" s="36" t="s">
        <v>435</v>
      </c>
      <c r="C153" s="25">
        <v>1.0</v>
      </c>
      <c r="D153" s="36" t="s">
        <v>82</v>
      </c>
    </row>
    <row r="154">
      <c r="A154" s="36" t="s">
        <v>436</v>
      </c>
      <c r="B154" s="36" t="s">
        <v>437</v>
      </c>
      <c r="C154" s="25">
        <v>1.0</v>
      </c>
      <c r="D154" s="36" t="s">
        <v>82</v>
      </c>
    </row>
    <row r="155">
      <c r="A155" s="36" t="s">
        <v>438</v>
      </c>
      <c r="B155" s="36" t="s">
        <v>439</v>
      </c>
      <c r="C155" s="25">
        <v>1.0</v>
      </c>
      <c r="D155" s="36" t="s">
        <v>82</v>
      </c>
    </row>
    <row r="156">
      <c r="A156" s="36" t="s">
        <v>440</v>
      </c>
      <c r="B156" s="36" t="s">
        <v>441</v>
      </c>
      <c r="C156" s="25">
        <v>1.0</v>
      </c>
      <c r="D156" s="36" t="s">
        <v>82</v>
      </c>
    </row>
    <row r="157">
      <c r="A157" s="36" t="s">
        <v>442</v>
      </c>
      <c r="B157" s="36" t="s">
        <v>444</v>
      </c>
      <c r="C157" s="25">
        <v>1.0</v>
      </c>
      <c r="D157" s="36" t="s">
        <v>82</v>
      </c>
    </row>
    <row r="158">
      <c r="A158" s="36" t="s">
        <v>403</v>
      </c>
      <c r="B158" s="36" t="s">
        <v>446</v>
      </c>
      <c r="C158" s="25">
        <v>1.0</v>
      </c>
      <c r="D158" s="36" t="s">
        <v>82</v>
      </c>
    </row>
    <row r="159">
      <c r="A159" s="36" t="s">
        <v>447</v>
      </c>
      <c r="B159" s="36" t="s">
        <v>448</v>
      </c>
      <c r="C159" s="25">
        <v>1.0</v>
      </c>
      <c r="D159" s="36" t="s">
        <v>82</v>
      </c>
    </row>
    <row r="160">
      <c r="A160" s="36" t="s">
        <v>351</v>
      </c>
      <c r="B160" s="36" t="s">
        <v>449</v>
      </c>
      <c r="C160" s="25">
        <v>1.0</v>
      </c>
      <c r="D160" s="36" t="s">
        <v>82</v>
      </c>
    </row>
    <row r="161">
      <c r="A161" s="36" t="s">
        <v>450</v>
      </c>
      <c r="B161" s="36" t="s">
        <v>451</v>
      </c>
      <c r="C161" s="25">
        <v>1.0</v>
      </c>
      <c r="D161" s="36" t="s">
        <v>82</v>
      </c>
    </row>
    <row r="162">
      <c r="A162" s="36" t="s">
        <v>452</v>
      </c>
      <c r="B162" s="36" t="s">
        <v>453</v>
      </c>
      <c r="C162" s="25">
        <v>1.0</v>
      </c>
      <c r="D162" s="36" t="s">
        <v>82</v>
      </c>
    </row>
    <row r="163">
      <c r="A163" s="36" t="s">
        <v>454</v>
      </c>
      <c r="B163" s="36" t="s">
        <v>455</v>
      </c>
      <c r="C163" s="25">
        <v>1.0</v>
      </c>
      <c r="D163" s="36" t="s">
        <v>82</v>
      </c>
    </row>
    <row r="164">
      <c r="A164" s="36" t="s">
        <v>456</v>
      </c>
      <c r="B164" s="36" t="s">
        <v>457</v>
      </c>
      <c r="C164" s="25">
        <v>1.0</v>
      </c>
      <c r="D164" s="36" t="s">
        <v>82</v>
      </c>
    </row>
    <row r="165">
      <c r="A165" s="36" t="s">
        <v>458</v>
      </c>
      <c r="B165" s="36" t="s">
        <v>459</v>
      </c>
      <c r="C165" s="25">
        <v>1.0</v>
      </c>
      <c r="D165" s="36" t="s">
        <v>223</v>
      </c>
    </row>
    <row r="166">
      <c r="A166" s="36" t="s">
        <v>460</v>
      </c>
      <c r="B166" s="36" t="s">
        <v>461</v>
      </c>
      <c r="C166" s="25">
        <v>1.0</v>
      </c>
      <c r="D166" s="36" t="s">
        <v>82</v>
      </c>
    </row>
    <row r="167">
      <c r="A167" s="36" t="s">
        <v>464</v>
      </c>
      <c r="B167" s="36" t="s">
        <v>465</v>
      </c>
      <c r="C167" s="25">
        <v>1.0</v>
      </c>
      <c r="D167" s="36" t="s">
        <v>82</v>
      </c>
    </row>
    <row r="168">
      <c r="A168" s="36" t="s">
        <v>466</v>
      </c>
      <c r="B168" s="36" t="s">
        <v>467</v>
      </c>
      <c r="C168" s="25">
        <v>1.0</v>
      </c>
      <c r="D168" s="36" t="s">
        <v>82</v>
      </c>
    </row>
    <row r="169">
      <c r="A169" s="36" t="s">
        <v>468</v>
      </c>
      <c r="B169" s="36" t="s">
        <v>469</v>
      </c>
      <c r="C169" s="25">
        <v>1.0</v>
      </c>
      <c r="D169" s="36" t="s">
        <v>82</v>
      </c>
    </row>
    <row r="170">
      <c r="A170" s="36" t="s">
        <v>470</v>
      </c>
      <c r="B170" s="36" t="s">
        <v>471</v>
      </c>
      <c r="C170" s="25">
        <v>1.0</v>
      </c>
      <c r="D170" s="36" t="s">
        <v>82</v>
      </c>
    </row>
    <row r="171">
      <c r="A171" s="36" t="s">
        <v>472</v>
      </c>
      <c r="B171" s="36" t="s">
        <v>473</v>
      </c>
      <c r="C171" s="25">
        <v>1.0</v>
      </c>
      <c r="D171" s="36" t="s">
        <v>82</v>
      </c>
    </row>
    <row r="172">
      <c r="A172" s="36" t="s">
        <v>474</v>
      </c>
      <c r="B172" s="36" t="s">
        <v>475</v>
      </c>
      <c r="C172" s="25">
        <v>1.0</v>
      </c>
      <c r="D172" s="36" t="s">
        <v>82</v>
      </c>
    </row>
    <row r="173">
      <c r="A173" s="36" t="s">
        <v>476</v>
      </c>
      <c r="B173" s="36" t="s">
        <v>477</v>
      </c>
      <c r="C173" s="25">
        <v>1.0</v>
      </c>
      <c r="D173" s="36" t="s">
        <v>82</v>
      </c>
    </row>
    <row r="174">
      <c r="A174" s="36" t="s">
        <v>479</v>
      </c>
      <c r="B174" s="36" t="s">
        <v>480</v>
      </c>
      <c r="C174" s="25">
        <v>1.0</v>
      </c>
      <c r="D174" s="36" t="s">
        <v>82</v>
      </c>
    </row>
    <row r="175">
      <c r="A175" s="36" t="s">
        <v>482</v>
      </c>
      <c r="B175" s="36" t="s">
        <v>483</v>
      </c>
      <c r="C175" s="25">
        <v>1.0</v>
      </c>
      <c r="D175" s="36" t="s">
        <v>82</v>
      </c>
    </row>
    <row r="176">
      <c r="A176" s="36" t="s">
        <v>380</v>
      </c>
      <c r="B176" s="36" t="s">
        <v>484</v>
      </c>
      <c r="C176" s="25">
        <v>1.0</v>
      </c>
      <c r="D176" s="36" t="s">
        <v>82</v>
      </c>
    </row>
    <row r="177">
      <c r="A177" s="36" t="s">
        <v>142</v>
      </c>
      <c r="B177" s="36" t="s">
        <v>485</v>
      </c>
      <c r="C177" s="25">
        <v>1.0</v>
      </c>
      <c r="D177" s="36" t="s">
        <v>82</v>
      </c>
    </row>
    <row r="178">
      <c r="A178" s="36" t="s">
        <v>64</v>
      </c>
      <c r="B178" s="36" t="s">
        <v>486</v>
      </c>
      <c r="C178" s="25">
        <v>1.0</v>
      </c>
      <c r="D178" s="36" t="s">
        <v>82</v>
      </c>
    </row>
    <row r="179">
      <c r="A179" s="36" t="s">
        <v>487</v>
      </c>
      <c r="B179" s="36" t="s">
        <v>488</v>
      </c>
      <c r="C179" s="25">
        <v>1.0</v>
      </c>
      <c r="D179" s="36" t="s">
        <v>82</v>
      </c>
    </row>
    <row r="180">
      <c r="A180" s="36" t="s">
        <v>490</v>
      </c>
      <c r="B180" s="36" t="s">
        <v>491</v>
      </c>
      <c r="C180" s="25">
        <v>1.0</v>
      </c>
      <c r="D180" s="36" t="s">
        <v>82</v>
      </c>
    </row>
    <row r="181">
      <c r="A181" s="36" t="s">
        <v>493</v>
      </c>
      <c r="B181" s="36" t="s">
        <v>494</v>
      </c>
      <c r="C181" s="25">
        <v>1.0</v>
      </c>
      <c r="D181" s="36" t="s">
        <v>361</v>
      </c>
    </row>
    <row r="182">
      <c r="A182" s="36" t="s">
        <v>495</v>
      </c>
      <c r="B182" s="36" t="s">
        <v>496</v>
      </c>
      <c r="C182" s="25">
        <v>1.0</v>
      </c>
      <c r="D182" s="36" t="s">
        <v>82</v>
      </c>
    </row>
    <row r="183">
      <c r="A183" s="36" t="s">
        <v>497</v>
      </c>
      <c r="B183" s="36" t="s">
        <v>498</v>
      </c>
      <c r="C183" s="25">
        <v>1.0</v>
      </c>
      <c r="D183" s="36" t="s">
        <v>82</v>
      </c>
    </row>
    <row r="184">
      <c r="A184" s="36" t="s">
        <v>499</v>
      </c>
      <c r="B184" s="36" t="s">
        <v>500</v>
      </c>
      <c r="C184" s="25">
        <v>2.0</v>
      </c>
      <c r="D184" s="36" t="s">
        <v>223</v>
      </c>
    </row>
    <row r="185">
      <c r="A185" s="36" t="s">
        <v>501</v>
      </c>
      <c r="B185" s="36" t="s">
        <v>502</v>
      </c>
      <c r="C185" s="25">
        <v>1.0</v>
      </c>
      <c r="D185" s="36" t="s">
        <v>223</v>
      </c>
    </row>
    <row r="186">
      <c r="A186" s="36" t="s">
        <v>503</v>
      </c>
      <c r="B186" s="36" t="s">
        <v>504</v>
      </c>
      <c r="C186" s="25">
        <v>2.0</v>
      </c>
      <c r="D186" s="36" t="s">
        <v>169</v>
      </c>
    </row>
    <row r="187">
      <c r="A187" s="36" t="s">
        <v>505</v>
      </c>
      <c r="B187" s="36" t="s">
        <v>506</v>
      </c>
      <c r="C187" s="25">
        <v>1.0</v>
      </c>
      <c r="D187" s="36" t="s">
        <v>82</v>
      </c>
    </row>
    <row r="188">
      <c r="A188" s="36" t="s">
        <v>508</v>
      </c>
      <c r="B188" s="36" t="s">
        <v>510</v>
      </c>
      <c r="C188" s="25">
        <v>1.0</v>
      </c>
      <c r="D188" s="36" t="s">
        <v>82</v>
      </c>
    </row>
    <row r="189">
      <c r="A189" s="36" t="s">
        <v>511</v>
      </c>
      <c r="B189" s="36" t="s">
        <v>512</v>
      </c>
      <c r="C189" s="25">
        <v>1.0</v>
      </c>
      <c r="D189" s="36" t="s">
        <v>82</v>
      </c>
    </row>
    <row r="190">
      <c r="A190" s="36" t="s">
        <v>513</v>
      </c>
      <c r="B190" s="36" t="s">
        <v>514</v>
      </c>
      <c r="C190" s="25">
        <v>1.0</v>
      </c>
      <c r="D190" s="36" t="s">
        <v>223</v>
      </c>
    </row>
    <row r="191">
      <c r="A191" s="36" t="s">
        <v>515</v>
      </c>
      <c r="B191" s="36" t="s">
        <v>516</v>
      </c>
      <c r="C191" s="25">
        <v>1.0</v>
      </c>
      <c r="D191" s="36" t="s">
        <v>82</v>
      </c>
    </row>
    <row r="192">
      <c r="A192" s="36" t="s">
        <v>517</v>
      </c>
      <c r="B192" s="36" t="s">
        <v>518</v>
      </c>
      <c r="C192" s="25">
        <v>2.0</v>
      </c>
      <c r="D192" s="36" t="s">
        <v>169</v>
      </c>
    </row>
    <row r="193">
      <c r="A193" s="36" t="s">
        <v>519</v>
      </c>
      <c r="B193" s="36" t="s">
        <v>521</v>
      </c>
      <c r="C193" s="25">
        <v>1.0</v>
      </c>
      <c r="D193" s="36" t="s">
        <v>523</v>
      </c>
    </row>
    <row r="194">
      <c r="A194" s="36" t="s">
        <v>524</v>
      </c>
      <c r="B194" s="36" t="s">
        <v>525</v>
      </c>
      <c r="C194" s="25">
        <v>2.0</v>
      </c>
      <c r="D194" s="36" t="s">
        <v>188</v>
      </c>
    </row>
    <row r="195">
      <c r="A195" s="36" t="s">
        <v>526</v>
      </c>
      <c r="B195" s="36" t="s">
        <v>527</v>
      </c>
      <c r="C195" s="25">
        <v>2.0</v>
      </c>
      <c r="D195" s="36" t="s">
        <v>169</v>
      </c>
    </row>
    <row r="196">
      <c r="A196" s="36" t="s">
        <v>528</v>
      </c>
      <c r="B196" s="36" t="s">
        <v>529</v>
      </c>
      <c r="C196" s="25">
        <v>1.0</v>
      </c>
      <c r="D196" s="36" t="s">
        <v>82</v>
      </c>
    </row>
    <row r="197">
      <c r="A197" s="36" t="s">
        <v>530</v>
      </c>
      <c r="B197" s="36" t="s">
        <v>531</v>
      </c>
      <c r="C197" s="25">
        <v>1.0</v>
      </c>
      <c r="D197" s="36" t="s">
        <v>82</v>
      </c>
    </row>
    <row r="198">
      <c r="A198" s="36" t="s">
        <v>532</v>
      </c>
      <c r="B198" s="36" t="s">
        <v>533</v>
      </c>
      <c r="C198" s="25">
        <v>2.0</v>
      </c>
      <c r="D198" s="36" t="s">
        <v>534</v>
      </c>
    </row>
    <row r="199">
      <c r="A199" s="36" t="s">
        <v>535</v>
      </c>
      <c r="B199" s="36" t="s">
        <v>536</v>
      </c>
      <c r="C199" s="25">
        <v>1.0</v>
      </c>
      <c r="D199" s="36" t="s">
        <v>82</v>
      </c>
    </row>
    <row r="200">
      <c r="A200" s="36" t="s">
        <v>537</v>
      </c>
      <c r="B200" s="36" t="s">
        <v>538</v>
      </c>
      <c r="C200" s="25">
        <v>1.0</v>
      </c>
      <c r="D200" s="36" t="s">
        <v>82</v>
      </c>
    </row>
    <row r="201">
      <c r="A201" s="36" t="s">
        <v>539</v>
      </c>
      <c r="B201" s="36" t="s">
        <v>540</v>
      </c>
      <c r="C201" s="25">
        <v>1.0</v>
      </c>
      <c r="D201" s="36" t="s">
        <v>82</v>
      </c>
    </row>
    <row r="202">
      <c r="A202" s="36" t="s">
        <v>541</v>
      </c>
      <c r="B202" s="36" t="s">
        <v>542</v>
      </c>
      <c r="C202" s="25">
        <v>1.0</v>
      </c>
      <c r="D202" s="36" t="s">
        <v>82</v>
      </c>
    </row>
    <row r="203">
      <c r="A203" s="36" t="s">
        <v>543</v>
      </c>
      <c r="B203" s="36" t="s">
        <v>544</v>
      </c>
      <c r="C203" s="25">
        <v>1.0</v>
      </c>
      <c r="D203" s="36" t="s">
        <v>82</v>
      </c>
    </row>
    <row r="204">
      <c r="A204" s="36" t="s">
        <v>545</v>
      </c>
      <c r="B204" s="36" t="s">
        <v>546</v>
      </c>
      <c r="C204" s="25">
        <v>1.0</v>
      </c>
      <c r="D204" s="36" t="s">
        <v>82</v>
      </c>
    </row>
    <row r="205">
      <c r="A205" s="36" t="s">
        <v>548</v>
      </c>
      <c r="B205" s="36" t="s">
        <v>549</v>
      </c>
      <c r="C205" s="25">
        <v>1.0</v>
      </c>
      <c r="D205" s="36" t="s">
        <v>82</v>
      </c>
    </row>
    <row r="206">
      <c r="A206" s="36" t="s">
        <v>551</v>
      </c>
      <c r="B206" s="36" t="s">
        <v>552</v>
      </c>
      <c r="C206" s="25">
        <v>1.0</v>
      </c>
      <c r="D206" s="36" t="s">
        <v>82</v>
      </c>
    </row>
    <row r="207">
      <c r="A207" s="36" t="s">
        <v>553</v>
      </c>
      <c r="B207" s="36" t="s">
        <v>554</v>
      </c>
      <c r="C207" s="25">
        <v>1.0</v>
      </c>
      <c r="D207" s="36" t="s">
        <v>150</v>
      </c>
    </row>
    <row r="208">
      <c r="A208" s="36" t="s">
        <v>555</v>
      </c>
      <c r="B208" s="36" t="s">
        <v>556</v>
      </c>
      <c r="C208" s="25">
        <v>1.0</v>
      </c>
      <c r="D208" s="36" t="s">
        <v>82</v>
      </c>
    </row>
    <row r="209">
      <c r="A209" s="36" t="s">
        <v>319</v>
      </c>
      <c r="B209" s="36" t="s">
        <v>557</v>
      </c>
      <c r="C209" s="25">
        <v>1.0</v>
      </c>
      <c r="D209" s="36" t="s">
        <v>82</v>
      </c>
    </row>
    <row r="210">
      <c r="A210" s="36" t="s">
        <v>558</v>
      </c>
      <c r="B210" s="36" t="s">
        <v>559</v>
      </c>
      <c r="C210" s="25">
        <v>1.0</v>
      </c>
      <c r="D210" s="36" t="s">
        <v>223</v>
      </c>
    </row>
    <row r="211">
      <c r="A211" s="36" t="s">
        <v>560</v>
      </c>
      <c r="B211" s="36" t="s">
        <v>561</v>
      </c>
      <c r="C211" s="25">
        <v>3.0</v>
      </c>
      <c r="D211" s="36" t="s">
        <v>169</v>
      </c>
    </row>
    <row r="212">
      <c r="A212" s="36" t="s">
        <v>562</v>
      </c>
      <c r="B212" s="36" t="s">
        <v>563</v>
      </c>
      <c r="C212" s="25">
        <v>1.0</v>
      </c>
      <c r="D212" s="36" t="s">
        <v>150</v>
      </c>
    </row>
    <row r="213">
      <c r="A213" s="36" t="s">
        <v>564</v>
      </c>
      <c r="B213" s="36" t="s">
        <v>565</v>
      </c>
      <c r="C213" s="25">
        <v>1.0</v>
      </c>
      <c r="D213" s="36" t="s">
        <v>82</v>
      </c>
    </row>
    <row r="214">
      <c r="A214" s="36" t="s">
        <v>566</v>
      </c>
      <c r="B214" s="36" t="s">
        <v>567</v>
      </c>
      <c r="C214" s="25">
        <v>1.0</v>
      </c>
      <c r="D214" s="36" t="s">
        <v>82</v>
      </c>
    </row>
    <row r="215">
      <c r="A215" s="36" t="s">
        <v>568</v>
      </c>
      <c r="B215" s="36" t="s">
        <v>569</v>
      </c>
      <c r="C215" s="25">
        <v>1.0</v>
      </c>
      <c r="D215" s="36" t="s">
        <v>82</v>
      </c>
    </row>
    <row r="216">
      <c r="A216" s="36" t="s">
        <v>570</v>
      </c>
      <c r="B216" s="36" t="s">
        <v>571</v>
      </c>
      <c r="C216" s="25">
        <v>1.0</v>
      </c>
      <c r="D216" s="36" t="s">
        <v>82</v>
      </c>
    </row>
    <row r="217">
      <c r="A217" s="36" t="s">
        <v>572</v>
      </c>
      <c r="B217" s="36" t="s">
        <v>573</v>
      </c>
      <c r="C217" s="25">
        <v>1.0</v>
      </c>
      <c r="D217" s="36" t="s">
        <v>82</v>
      </c>
    </row>
    <row r="218">
      <c r="A218" s="36" t="s">
        <v>574</v>
      </c>
      <c r="B218" s="36" t="s">
        <v>575</v>
      </c>
      <c r="C218" s="25">
        <v>1.0</v>
      </c>
      <c r="D218" s="36" t="s">
        <v>82</v>
      </c>
    </row>
    <row r="219">
      <c r="A219" s="36" t="s">
        <v>576</v>
      </c>
      <c r="B219" s="36" t="s">
        <v>577</v>
      </c>
      <c r="C219" s="25">
        <v>1.0</v>
      </c>
      <c r="D219" s="36" t="s">
        <v>82</v>
      </c>
    </row>
    <row r="220">
      <c r="A220" s="36" t="s">
        <v>578</v>
      </c>
      <c r="B220" s="36" t="s">
        <v>579</v>
      </c>
      <c r="C220" s="25">
        <v>1.0</v>
      </c>
      <c r="D220" s="36" t="s">
        <v>82</v>
      </c>
    </row>
    <row r="221">
      <c r="A221" s="36" t="s">
        <v>581</v>
      </c>
      <c r="B221" s="36" t="s">
        <v>582</v>
      </c>
      <c r="C221" s="25">
        <v>1.0</v>
      </c>
      <c r="D221" s="36" t="s">
        <v>223</v>
      </c>
    </row>
    <row r="222">
      <c r="A222" s="36" t="s">
        <v>583</v>
      </c>
      <c r="B222" s="36" t="s">
        <v>585</v>
      </c>
      <c r="C222" s="25">
        <v>1.0</v>
      </c>
      <c r="D222" s="36" t="s">
        <v>82</v>
      </c>
    </row>
    <row r="223">
      <c r="A223" s="36" t="s">
        <v>586</v>
      </c>
      <c r="B223" s="36" t="s">
        <v>587</v>
      </c>
      <c r="C223" s="25">
        <v>1.0</v>
      </c>
      <c r="D223" s="36" t="s">
        <v>82</v>
      </c>
    </row>
    <row r="224">
      <c r="A224" s="36" t="s">
        <v>588</v>
      </c>
      <c r="B224" s="36" t="s">
        <v>589</v>
      </c>
      <c r="C224" s="25">
        <v>3.0</v>
      </c>
      <c r="D224" s="36" t="s">
        <v>172</v>
      </c>
    </row>
    <row r="225">
      <c r="A225" s="36" t="s">
        <v>590</v>
      </c>
      <c r="B225" s="36" t="s">
        <v>591</v>
      </c>
      <c r="C225" s="25">
        <v>1.0</v>
      </c>
      <c r="D225" s="36" t="s">
        <v>223</v>
      </c>
    </row>
    <row r="226">
      <c r="A226" s="36" t="s">
        <v>509</v>
      </c>
      <c r="B226" s="36" t="s">
        <v>592</v>
      </c>
      <c r="C226" s="25">
        <v>1.0</v>
      </c>
      <c r="D226" s="36" t="s">
        <v>82</v>
      </c>
    </row>
    <row r="227">
      <c r="A227" s="36" t="s">
        <v>156</v>
      </c>
      <c r="B227" s="36" t="s">
        <v>593</v>
      </c>
      <c r="C227" s="25">
        <v>1.0</v>
      </c>
      <c r="D227" s="36" t="s">
        <v>82</v>
      </c>
    </row>
    <row r="228">
      <c r="A228" s="36" t="s">
        <v>594</v>
      </c>
      <c r="B228" s="36" t="s">
        <v>595</v>
      </c>
      <c r="C228" s="25">
        <v>1.0</v>
      </c>
      <c r="D228" s="36" t="s">
        <v>223</v>
      </c>
    </row>
    <row r="229">
      <c r="A229" s="36" t="s">
        <v>596</v>
      </c>
      <c r="B229" s="36" t="s">
        <v>597</v>
      </c>
      <c r="C229" s="25">
        <v>1.0</v>
      </c>
      <c r="D229" s="36" t="s">
        <v>598</v>
      </c>
    </row>
    <row r="230">
      <c r="A230" s="36" t="s">
        <v>599</v>
      </c>
      <c r="B230" s="36" t="s">
        <v>600</v>
      </c>
      <c r="C230" s="25">
        <v>1.0</v>
      </c>
      <c r="D230" s="36" t="s">
        <v>82</v>
      </c>
    </row>
    <row r="231">
      <c r="A231" s="36" t="s">
        <v>602</v>
      </c>
      <c r="B231" s="36" t="s">
        <v>603</v>
      </c>
      <c r="C231" s="25">
        <v>1.0</v>
      </c>
      <c r="D231" s="36" t="s">
        <v>223</v>
      </c>
    </row>
    <row r="232">
      <c r="A232" s="36" t="s">
        <v>604</v>
      </c>
      <c r="B232" s="36" t="s">
        <v>605</v>
      </c>
      <c r="C232" s="25">
        <v>1.0</v>
      </c>
      <c r="D232" s="36" t="s">
        <v>82</v>
      </c>
    </row>
    <row r="233">
      <c r="A233" s="36" t="s">
        <v>606</v>
      </c>
      <c r="B233" s="36" t="s">
        <v>607</v>
      </c>
      <c r="C233" s="25">
        <v>1.0</v>
      </c>
      <c r="D233" s="36" t="s">
        <v>82</v>
      </c>
    </row>
    <row r="234">
      <c r="A234" s="36" t="s">
        <v>608</v>
      </c>
      <c r="B234" s="36" t="s">
        <v>609</v>
      </c>
      <c r="C234" s="25">
        <v>1.0</v>
      </c>
      <c r="D234" s="36" t="s">
        <v>82</v>
      </c>
    </row>
    <row r="235">
      <c r="A235" s="36" t="s">
        <v>610</v>
      </c>
      <c r="B235" s="36" t="s">
        <v>611</v>
      </c>
      <c r="C235" s="25">
        <v>1.0</v>
      </c>
      <c r="D235" s="36" t="s">
        <v>82</v>
      </c>
    </row>
    <row r="236">
      <c r="A236" s="36" t="s">
        <v>612</v>
      </c>
      <c r="B236" s="36" t="s">
        <v>613</v>
      </c>
      <c r="C236" s="25">
        <v>1.0</v>
      </c>
      <c r="D236" s="36" t="s">
        <v>82</v>
      </c>
    </row>
    <row r="237">
      <c r="A237" s="36" t="s">
        <v>615</v>
      </c>
      <c r="B237" s="36" t="s">
        <v>616</v>
      </c>
      <c r="C237" s="25">
        <v>1.0</v>
      </c>
      <c r="D237" s="36" t="s">
        <v>82</v>
      </c>
    </row>
    <row r="238">
      <c r="A238" s="36" t="s">
        <v>77</v>
      </c>
      <c r="B238" s="36" t="s">
        <v>617</v>
      </c>
      <c r="C238" s="25">
        <v>1.0</v>
      </c>
      <c r="D238" s="36" t="s">
        <v>82</v>
      </c>
    </row>
    <row r="239">
      <c r="A239" s="36" t="s">
        <v>618</v>
      </c>
      <c r="B239" s="36" t="s">
        <v>619</v>
      </c>
      <c r="C239" s="25">
        <v>1.0</v>
      </c>
      <c r="D239" s="36" t="s">
        <v>82</v>
      </c>
    </row>
    <row r="240">
      <c r="A240" s="36" t="s">
        <v>620</v>
      </c>
      <c r="B240" s="36" t="s">
        <v>621</v>
      </c>
      <c r="C240" s="25">
        <v>3.0</v>
      </c>
      <c r="D240" s="36" t="s">
        <v>172</v>
      </c>
    </row>
    <row r="241">
      <c r="A241" s="36" t="s">
        <v>622</v>
      </c>
      <c r="B241" s="36" t="s">
        <v>623</v>
      </c>
      <c r="C241" s="25">
        <v>1.0</v>
      </c>
      <c r="D241" s="36" t="s">
        <v>82</v>
      </c>
    </row>
    <row r="242">
      <c r="A242" s="36" t="s">
        <v>625</v>
      </c>
      <c r="B242" s="36" t="s">
        <v>627</v>
      </c>
      <c r="C242" s="25">
        <v>1.0</v>
      </c>
      <c r="D242" s="36" t="s">
        <v>369</v>
      </c>
    </row>
    <row r="243">
      <c r="A243" s="36" t="s">
        <v>66</v>
      </c>
      <c r="B243" s="36" t="s">
        <v>628</v>
      </c>
      <c r="C243" s="25">
        <v>1.0</v>
      </c>
      <c r="D243" s="36" t="s">
        <v>82</v>
      </c>
    </row>
    <row r="244">
      <c r="A244" s="36" t="s">
        <v>629</v>
      </c>
      <c r="B244" s="36" t="s">
        <v>630</v>
      </c>
      <c r="C244" s="25">
        <v>3.0</v>
      </c>
      <c r="D244" s="36" t="s">
        <v>172</v>
      </c>
    </row>
    <row r="245">
      <c r="A245" s="36" t="s">
        <v>631</v>
      </c>
      <c r="B245" s="36" t="s">
        <v>632</v>
      </c>
      <c r="C245" s="25">
        <v>1.0</v>
      </c>
      <c r="D245" s="36" t="s">
        <v>82</v>
      </c>
    </row>
    <row r="246">
      <c r="A246" s="36" t="s">
        <v>633</v>
      </c>
      <c r="B246" s="36" t="s">
        <v>634</v>
      </c>
      <c r="C246" s="25">
        <v>1.0</v>
      </c>
      <c r="D246" s="36" t="s">
        <v>82</v>
      </c>
    </row>
    <row r="247">
      <c r="A247" s="36" t="s">
        <v>636</v>
      </c>
      <c r="B247" s="36" t="s">
        <v>637</v>
      </c>
      <c r="C247" s="25">
        <v>1.0</v>
      </c>
      <c r="D247" s="36" t="s">
        <v>150</v>
      </c>
    </row>
    <row r="248">
      <c r="A248" s="36" t="s">
        <v>392</v>
      </c>
      <c r="B248" s="36" t="s">
        <v>638</v>
      </c>
      <c r="C248" s="25">
        <v>1.0</v>
      </c>
      <c r="D248" s="36" t="s">
        <v>82</v>
      </c>
    </row>
    <row r="249">
      <c r="A249" s="36" t="s">
        <v>363</v>
      </c>
      <c r="B249" s="36" t="s">
        <v>639</v>
      </c>
      <c r="C249" s="25">
        <v>1.0</v>
      </c>
      <c r="D249" s="36" t="s">
        <v>82</v>
      </c>
    </row>
    <row r="250">
      <c r="A250" s="36" t="s">
        <v>640</v>
      </c>
      <c r="B250" s="36" t="s">
        <v>641</v>
      </c>
      <c r="C250" s="25">
        <v>1.0</v>
      </c>
      <c r="D250" s="36" t="s">
        <v>82</v>
      </c>
    </row>
    <row r="251">
      <c r="A251" s="36" t="s">
        <v>642</v>
      </c>
      <c r="B251" s="36" t="s">
        <v>643</v>
      </c>
      <c r="C251" s="25">
        <v>1.0</v>
      </c>
      <c r="D251" s="36" t="s">
        <v>82</v>
      </c>
    </row>
    <row r="252">
      <c r="A252" s="36" t="s">
        <v>644</v>
      </c>
      <c r="B252" s="36" t="s">
        <v>645</v>
      </c>
      <c r="C252" s="25">
        <v>3.0</v>
      </c>
      <c r="D252" s="36" t="s">
        <v>172</v>
      </c>
    </row>
    <row r="253">
      <c r="A253" s="36" t="s">
        <v>646</v>
      </c>
      <c r="B253" s="36" t="s">
        <v>647</v>
      </c>
      <c r="C253" s="25">
        <v>1.0</v>
      </c>
      <c r="D253" s="36" t="s">
        <v>82</v>
      </c>
    </row>
    <row r="254">
      <c r="A254" s="36" t="s">
        <v>648</v>
      </c>
      <c r="B254" s="36" t="s">
        <v>649</v>
      </c>
      <c r="C254" s="25">
        <v>1.0</v>
      </c>
      <c r="D254" s="36" t="s">
        <v>82</v>
      </c>
    </row>
    <row r="255">
      <c r="A255" s="36" t="s">
        <v>651</v>
      </c>
      <c r="B255" s="36" t="s">
        <v>652</v>
      </c>
      <c r="C255" s="25">
        <v>2.0</v>
      </c>
      <c r="D255" s="36" t="s">
        <v>169</v>
      </c>
    </row>
    <row r="256">
      <c r="A256" s="36" t="s">
        <v>653</v>
      </c>
      <c r="B256" s="36" t="s">
        <v>654</v>
      </c>
      <c r="C256" s="25">
        <v>1.0</v>
      </c>
      <c r="D256" s="36" t="s">
        <v>82</v>
      </c>
    </row>
    <row r="257">
      <c r="A257" s="36" t="s">
        <v>656</v>
      </c>
      <c r="B257" s="36" t="s">
        <v>657</v>
      </c>
      <c r="C257" s="25">
        <v>1.0</v>
      </c>
      <c r="D257" s="36" t="s">
        <v>82</v>
      </c>
    </row>
    <row r="258">
      <c r="A258" s="36" t="s">
        <v>658</v>
      </c>
      <c r="B258" s="36" t="s">
        <v>659</v>
      </c>
      <c r="C258" s="25">
        <v>1.0</v>
      </c>
      <c r="D258" s="36" t="s">
        <v>82</v>
      </c>
    </row>
    <row r="259">
      <c r="A259" s="36" t="s">
        <v>660</v>
      </c>
      <c r="B259" s="36" t="s">
        <v>661</v>
      </c>
      <c r="C259" s="25">
        <v>1.0</v>
      </c>
      <c r="D259" s="36" t="s">
        <v>82</v>
      </c>
    </row>
    <row r="260">
      <c r="A260" s="36" t="s">
        <v>662</v>
      </c>
      <c r="B260" s="36" t="s">
        <v>663</v>
      </c>
      <c r="C260" s="25">
        <v>3.0</v>
      </c>
      <c r="D260" s="36" t="s">
        <v>172</v>
      </c>
    </row>
    <row r="261">
      <c r="A261" s="36" t="s">
        <v>664</v>
      </c>
      <c r="B261" s="36" t="s">
        <v>665</v>
      </c>
      <c r="C261" s="25">
        <v>1.0</v>
      </c>
      <c r="D261" s="36" t="s">
        <v>82</v>
      </c>
    </row>
    <row r="262">
      <c r="A262" s="36" t="s">
        <v>667</v>
      </c>
      <c r="B262" s="36" t="s">
        <v>668</v>
      </c>
      <c r="C262" s="25">
        <v>1.0</v>
      </c>
      <c r="D262" s="36" t="s">
        <v>82</v>
      </c>
    </row>
    <row r="263">
      <c r="A263" s="36" t="s">
        <v>669</v>
      </c>
      <c r="B263" s="36" t="s">
        <v>670</v>
      </c>
      <c r="C263" s="25">
        <v>1.0</v>
      </c>
      <c r="D263" s="36" t="s">
        <v>150</v>
      </c>
    </row>
    <row r="264">
      <c r="A264" s="36" t="s">
        <v>671</v>
      </c>
      <c r="B264" s="36" t="s">
        <v>672</v>
      </c>
      <c r="C264" s="25">
        <v>1.0</v>
      </c>
      <c r="D264" s="36" t="s">
        <v>82</v>
      </c>
    </row>
    <row r="265">
      <c r="A265" s="36" t="s">
        <v>673</v>
      </c>
      <c r="B265" s="36" t="s">
        <v>674</v>
      </c>
      <c r="C265" s="25">
        <v>1.0</v>
      </c>
      <c r="D265" s="36" t="s">
        <v>675</v>
      </c>
    </row>
    <row r="266">
      <c r="A266" s="36" t="s">
        <v>676</v>
      </c>
      <c r="B266" s="36" t="s">
        <v>677</v>
      </c>
      <c r="C266" s="25">
        <v>1.0</v>
      </c>
      <c r="D266" s="36" t="s">
        <v>82</v>
      </c>
    </row>
    <row r="267">
      <c r="A267" s="36" t="s">
        <v>679</v>
      </c>
      <c r="B267" s="36" t="s">
        <v>681</v>
      </c>
      <c r="C267" s="25">
        <v>1.0</v>
      </c>
      <c r="D267" s="36" t="s">
        <v>82</v>
      </c>
    </row>
    <row r="268">
      <c r="A268" s="36" t="s">
        <v>682</v>
      </c>
      <c r="B268" s="36" t="s">
        <v>683</v>
      </c>
      <c r="C268" s="25">
        <v>2.0</v>
      </c>
      <c r="D268" s="36" t="s">
        <v>534</v>
      </c>
    </row>
    <row r="269">
      <c r="A269" s="36" t="s">
        <v>684</v>
      </c>
      <c r="B269" s="36" t="s">
        <v>685</v>
      </c>
      <c r="C269" s="25">
        <v>2.0</v>
      </c>
      <c r="D269" s="36" t="s">
        <v>169</v>
      </c>
    </row>
    <row r="270">
      <c r="A270" s="36" t="s">
        <v>686</v>
      </c>
      <c r="B270" s="36" t="s">
        <v>687</v>
      </c>
      <c r="C270" s="25">
        <v>2.0</v>
      </c>
      <c r="D270" s="36" t="s">
        <v>169</v>
      </c>
    </row>
    <row r="271">
      <c r="A271" s="36" t="s">
        <v>688</v>
      </c>
      <c r="B271" s="36" t="s">
        <v>689</v>
      </c>
      <c r="C271" s="25">
        <v>1.0</v>
      </c>
      <c r="D271" s="36" t="s">
        <v>223</v>
      </c>
    </row>
    <row r="272">
      <c r="A272" s="36" t="s">
        <v>692</v>
      </c>
      <c r="B272" s="36" t="s">
        <v>693</v>
      </c>
      <c r="C272" s="25">
        <v>1.0</v>
      </c>
      <c r="D272" s="36" t="s">
        <v>82</v>
      </c>
    </row>
    <row r="273">
      <c r="A273" s="36" t="s">
        <v>694</v>
      </c>
      <c r="B273" s="36" t="s">
        <v>695</v>
      </c>
      <c r="C273" s="25">
        <v>1.0</v>
      </c>
      <c r="D273" s="36" t="s">
        <v>82</v>
      </c>
    </row>
    <row r="274">
      <c r="A274" s="36" t="s">
        <v>696</v>
      </c>
      <c r="B274" s="36" t="s">
        <v>697</v>
      </c>
      <c r="C274" s="25">
        <v>1.0</v>
      </c>
      <c r="D274" s="36" t="s">
        <v>82</v>
      </c>
    </row>
    <row r="275">
      <c r="A275" s="36" t="s">
        <v>698</v>
      </c>
      <c r="B275" s="36" t="s">
        <v>699</v>
      </c>
      <c r="C275" s="25">
        <v>1.0</v>
      </c>
      <c r="D275" s="36" t="s">
        <v>82</v>
      </c>
    </row>
    <row r="276">
      <c r="A276" s="36" t="s">
        <v>700</v>
      </c>
      <c r="B276" s="36" t="s">
        <v>701</v>
      </c>
      <c r="C276" s="25">
        <v>1.0</v>
      </c>
      <c r="D276" s="36" t="s">
        <v>702</v>
      </c>
    </row>
    <row r="277">
      <c r="A277" s="36" t="s">
        <v>703</v>
      </c>
      <c r="B277" s="36" t="s">
        <v>705</v>
      </c>
      <c r="C277" s="25">
        <v>1.0</v>
      </c>
      <c r="D277" s="36" t="s">
        <v>82</v>
      </c>
    </row>
    <row r="278">
      <c r="A278" s="36" t="s">
        <v>706</v>
      </c>
      <c r="B278" s="36" t="s">
        <v>707</v>
      </c>
      <c r="C278" s="25">
        <v>3.0</v>
      </c>
      <c r="D278" s="36" t="s">
        <v>172</v>
      </c>
    </row>
    <row r="279">
      <c r="A279" s="36" t="s">
        <v>708</v>
      </c>
      <c r="B279" s="36" t="s">
        <v>709</v>
      </c>
      <c r="C279" s="25">
        <v>1.0</v>
      </c>
      <c r="D279" s="36" t="s">
        <v>82</v>
      </c>
    </row>
    <row r="280">
      <c r="A280" s="36" t="s">
        <v>710</v>
      </c>
      <c r="B280" s="36" t="s">
        <v>711</v>
      </c>
      <c r="C280" s="25">
        <v>1.0</v>
      </c>
      <c r="D280" s="36" t="s">
        <v>82</v>
      </c>
    </row>
    <row r="281">
      <c r="A281" s="36" t="s">
        <v>712</v>
      </c>
      <c r="B281" s="36" t="s">
        <v>713</v>
      </c>
      <c r="C281" s="25">
        <v>1.0</v>
      </c>
      <c r="D281" s="36" t="s">
        <v>82</v>
      </c>
    </row>
    <row r="282">
      <c r="A282" s="36" t="s">
        <v>714</v>
      </c>
      <c r="B282" s="36" t="s">
        <v>716</v>
      </c>
      <c r="C282" s="25">
        <v>1.0</v>
      </c>
      <c r="D282" s="36" t="s">
        <v>82</v>
      </c>
    </row>
    <row r="283">
      <c r="A283" s="36" t="s">
        <v>717</v>
      </c>
      <c r="B283" s="36" t="s">
        <v>718</v>
      </c>
      <c r="C283" s="25">
        <v>1.0</v>
      </c>
      <c r="D283" s="36" t="s">
        <v>82</v>
      </c>
    </row>
    <row r="284">
      <c r="A284" s="36" t="s">
        <v>719</v>
      </c>
      <c r="B284" s="36" t="s">
        <v>720</v>
      </c>
      <c r="C284" s="25">
        <v>1.0</v>
      </c>
      <c r="D284" s="36" t="s">
        <v>82</v>
      </c>
    </row>
    <row r="285">
      <c r="A285" s="36" t="s">
        <v>721</v>
      </c>
      <c r="B285" s="36" t="s">
        <v>722</v>
      </c>
      <c r="C285" s="25">
        <v>1.0</v>
      </c>
      <c r="D285" s="36" t="s">
        <v>82</v>
      </c>
    </row>
    <row r="286">
      <c r="A286" s="36" t="s">
        <v>723</v>
      </c>
      <c r="B286" s="36" t="s">
        <v>724</v>
      </c>
      <c r="C286" s="25">
        <v>1.0</v>
      </c>
      <c r="D286" s="36" t="s">
        <v>82</v>
      </c>
    </row>
    <row r="287">
      <c r="A287" s="36" t="s">
        <v>726</v>
      </c>
      <c r="B287" s="36" t="s">
        <v>727</v>
      </c>
      <c r="C287" s="25">
        <v>3.0</v>
      </c>
      <c r="D287" s="36" t="s">
        <v>728</v>
      </c>
    </row>
    <row r="288">
      <c r="A288" s="36" t="s">
        <v>729</v>
      </c>
      <c r="B288" s="36" t="s">
        <v>730</v>
      </c>
      <c r="C288" s="25">
        <v>1.0</v>
      </c>
      <c r="D288" s="36" t="s">
        <v>82</v>
      </c>
    </row>
    <row r="289">
      <c r="A289" s="36" t="s">
        <v>731</v>
      </c>
      <c r="B289" s="36" t="s">
        <v>732</v>
      </c>
      <c r="C289" s="25">
        <v>1.0</v>
      </c>
      <c r="D289" s="36" t="s">
        <v>82</v>
      </c>
    </row>
    <row r="290">
      <c r="A290" s="36" t="s">
        <v>733</v>
      </c>
      <c r="B290" s="36" t="s">
        <v>734</v>
      </c>
      <c r="C290" s="25">
        <v>1.0</v>
      </c>
      <c r="D290" s="36" t="s">
        <v>82</v>
      </c>
    </row>
    <row r="291">
      <c r="A291" s="36" t="s">
        <v>736</v>
      </c>
      <c r="B291" s="36" t="s">
        <v>737</v>
      </c>
      <c r="C291" s="25">
        <v>1.0</v>
      </c>
      <c r="D291" s="36" t="s">
        <v>82</v>
      </c>
    </row>
    <row r="292">
      <c r="A292" s="36" t="s">
        <v>738</v>
      </c>
      <c r="B292" s="36" t="s">
        <v>739</v>
      </c>
      <c r="C292" s="25">
        <v>2.0</v>
      </c>
      <c r="D292" s="36" t="s">
        <v>169</v>
      </c>
    </row>
    <row r="293">
      <c r="A293" s="36" t="s">
        <v>740</v>
      </c>
      <c r="B293" s="36" t="s">
        <v>741</v>
      </c>
      <c r="C293" s="25">
        <v>1.0</v>
      </c>
      <c r="D293" s="36" t="s">
        <v>223</v>
      </c>
    </row>
    <row r="294">
      <c r="A294" s="36" t="s">
        <v>742</v>
      </c>
      <c r="B294" s="36" t="s">
        <v>743</v>
      </c>
      <c r="C294" s="25">
        <v>1.0</v>
      </c>
      <c r="D294" s="36" t="s">
        <v>82</v>
      </c>
    </row>
    <row r="295">
      <c r="A295" s="36" t="s">
        <v>744</v>
      </c>
      <c r="B295" s="36" t="s">
        <v>745</v>
      </c>
      <c r="C295" s="25">
        <v>1.0</v>
      </c>
      <c r="D295" s="36" t="s">
        <v>82</v>
      </c>
    </row>
    <row r="296">
      <c r="A296" s="36" t="s">
        <v>746</v>
      </c>
      <c r="B296" s="36" t="s">
        <v>747</v>
      </c>
      <c r="C296" s="25">
        <v>1.0</v>
      </c>
      <c r="D296" s="36" t="s">
        <v>82</v>
      </c>
    </row>
    <row r="297">
      <c r="A297" s="36" t="s">
        <v>748</v>
      </c>
      <c r="B297" s="36" t="s">
        <v>749</v>
      </c>
      <c r="C297" s="25">
        <v>1.0</v>
      </c>
      <c r="D297" s="36" t="s">
        <v>82</v>
      </c>
    </row>
    <row r="298">
      <c r="A298" s="36" t="s">
        <v>751</v>
      </c>
      <c r="B298" s="36" t="s">
        <v>752</v>
      </c>
      <c r="C298" s="25">
        <v>2.0</v>
      </c>
      <c r="D298" s="36" t="s">
        <v>169</v>
      </c>
    </row>
    <row r="299">
      <c r="A299" s="36" t="s">
        <v>753</v>
      </c>
      <c r="B299" s="36" t="s">
        <v>754</v>
      </c>
      <c r="C299" s="25">
        <v>2.0</v>
      </c>
      <c r="D299" s="36" t="s">
        <v>169</v>
      </c>
    </row>
    <row r="300">
      <c r="A300" s="36" t="s">
        <v>755</v>
      </c>
      <c r="B300" s="36" t="s">
        <v>756</v>
      </c>
      <c r="C300" s="25">
        <v>1.0</v>
      </c>
      <c r="D300" s="36" t="s">
        <v>82</v>
      </c>
    </row>
    <row r="301">
      <c r="A301" s="36" t="s">
        <v>758</v>
      </c>
      <c r="B301" s="36" t="s">
        <v>759</v>
      </c>
      <c r="C301" s="25">
        <v>2.0</v>
      </c>
      <c r="D301" s="36" t="s">
        <v>169</v>
      </c>
    </row>
    <row r="302">
      <c r="A302" s="36" t="s">
        <v>760</v>
      </c>
      <c r="B302" s="36" t="s">
        <v>761</v>
      </c>
      <c r="C302" s="25">
        <v>1.0</v>
      </c>
      <c r="D302" s="36" t="s">
        <v>82</v>
      </c>
    </row>
    <row r="303">
      <c r="A303" s="36" t="s">
        <v>762</v>
      </c>
      <c r="B303" s="36" t="s">
        <v>763</v>
      </c>
      <c r="C303" s="25">
        <v>1.0</v>
      </c>
      <c r="D303" s="36" t="s">
        <v>82</v>
      </c>
    </row>
    <row r="304">
      <c r="A304" s="36" t="s">
        <v>764</v>
      </c>
      <c r="B304" s="36" t="s">
        <v>765</v>
      </c>
      <c r="C304" s="25">
        <v>1.0</v>
      </c>
      <c r="D304" s="36" t="s">
        <v>82</v>
      </c>
    </row>
    <row r="305">
      <c r="A305" s="36" t="s">
        <v>550</v>
      </c>
      <c r="B305" s="36" t="s">
        <v>766</v>
      </c>
      <c r="C305" s="25">
        <v>1.0</v>
      </c>
      <c r="D305" s="36" t="s">
        <v>82</v>
      </c>
    </row>
    <row r="306">
      <c r="A306" s="36" t="s">
        <v>768</v>
      </c>
      <c r="B306" s="36" t="s">
        <v>769</v>
      </c>
      <c r="C306" s="25">
        <v>1.0</v>
      </c>
      <c r="D306" s="36" t="s">
        <v>82</v>
      </c>
    </row>
    <row r="307">
      <c r="A307" s="36" t="s">
        <v>770</v>
      </c>
      <c r="B307" s="36" t="s">
        <v>771</v>
      </c>
      <c r="C307" s="25">
        <v>1.0</v>
      </c>
      <c r="D307" s="36" t="s">
        <v>82</v>
      </c>
    </row>
    <row r="308">
      <c r="A308" s="36" t="s">
        <v>772</v>
      </c>
      <c r="B308" s="36" t="s">
        <v>773</v>
      </c>
      <c r="C308" s="25">
        <v>1.0</v>
      </c>
      <c r="D308" s="36" t="s">
        <v>82</v>
      </c>
    </row>
    <row r="309">
      <c r="A309" s="36" t="s">
        <v>774</v>
      </c>
      <c r="B309" s="36" t="s">
        <v>775</v>
      </c>
      <c r="C309" s="25">
        <v>1.0</v>
      </c>
      <c r="D309" s="36" t="s">
        <v>82</v>
      </c>
    </row>
    <row r="310">
      <c r="A310" s="36" t="s">
        <v>776</v>
      </c>
      <c r="B310" s="36" t="s">
        <v>777</v>
      </c>
      <c r="C310" s="25">
        <v>1.0</v>
      </c>
      <c r="D310" s="36" t="s">
        <v>82</v>
      </c>
    </row>
    <row r="311">
      <c r="A311" s="36" t="s">
        <v>778</v>
      </c>
      <c r="B311" s="36" t="s">
        <v>779</v>
      </c>
      <c r="C311" s="25">
        <v>1.0</v>
      </c>
      <c r="D311" s="36" t="s">
        <v>82</v>
      </c>
    </row>
    <row r="312">
      <c r="A312" s="36" t="s">
        <v>781</v>
      </c>
      <c r="B312" s="36" t="s">
        <v>782</v>
      </c>
      <c r="C312" s="25">
        <v>1.0</v>
      </c>
      <c r="D312" s="36" t="s">
        <v>82</v>
      </c>
    </row>
    <row r="313">
      <c r="A313" s="36" t="s">
        <v>784</v>
      </c>
      <c r="B313" s="36" t="s">
        <v>785</v>
      </c>
      <c r="C313" s="25">
        <v>2.0</v>
      </c>
      <c r="D313" s="36" t="s">
        <v>169</v>
      </c>
    </row>
    <row r="314">
      <c r="A314" s="36" t="s">
        <v>786</v>
      </c>
      <c r="B314" s="36" t="s">
        <v>787</v>
      </c>
      <c r="C314" s="25">
        <v>1.0</v>
      </c>
      <c r="D314" s="36" t="s">
        <v>82</v>
      </c>
    </row>
    <row r="315">
      <c r="A315" s="36" t="s">
        <v>788</v>
      </c>
      <c r="B315" s="36" t="s">
        <v>790</v>
      </c>
      <c r="C315" s="25">
        <v>1.0</v>
      </c>
      <c r="D315" s="36" t="s">
        <v>82</v>
      </c>
    </row>
    <row r="316">
      <c r="A316" s="36" t="s">
        <v>792</v>
      </c>
      <c r="B316" s="36" t="s">
        <v>793</v>
      </c>
      <c r="C316" s="25">
        <v>1.0</v>
      </c>
      <c r="D316" s="36" t="s">
        <v>82</v>
      </c>
    </row>
    <row r="317">
      <c r="A317" s="36" t="s">
        <v>794</v>
      </c>
      <c r="B317" s="36" t="s">
        <v>795</v>
      </c>
      <c r="C317" s="25">
        <v>1.0</v>
      </c>
      <c r="D317" s="36" t="s">
        <v>82</v>
      </c>
    </row>
    <row r="318">
      <c r="A318" s="36" t="s">
        <v>796</v>
      </c>
      <c r="B318" s="36" t="s">
        <v>797</v>
      </c>
      <c r="C318" s="25">
        <v>2.0</v>
      </c>
      <c r="D318" s="36" t="s">
        <v>169</v>
      </c>
    </row>
    <row r="319">
      <c r="A319" s="36" t="s">
        <v>798</v>
      </c>
      <c r="B319" s="36" t="s">
        <v>799</v>
      </c>
      <c r="C319" s="25">
        <v>1.0</v>
      </c>
      <c r="D319" s="36" t="s">
        <v>82</v>
      </c>
    </row>
    <row r="320">
      <c r="A320" s="36" t="s">
        <v>801</v>
      </c>
      <c r="B320" s="36" t="s">
        <v>803</v>
      </c>
      <c r="C320" s="25">
        <v>1.0</v>
      </c>
      <c r="D320" s="36" t="s">
        <v>82</v>
      </c>
    </row>
    <row r="321">
      <c r="A321" s="36" t="s">
        <v>804</v>
      </c>
      <c r="B321" s="36" t="s">
        <v>805</v>
      </c>
      <c r="C321" s="25">
        <v>1.0</v>
      </c>
      <c r="D321" s="36" t="s">
        <v>82</v>
      </c>
    </row>
    <row r="322">
      <c r="A322" s="36" t="s">
        <v>806</v>
      </c>
      <c r="B322" s="36" t="s">
        <v>807</v>
      </c>
      <c r="C322" s="25">
        <v>1.0</v>
      </c>
      <c r="D322" s="36" t="s">
        <v>82</v>
      </c>
    </row>
    <row r="323">
      <c r="A323" s="36" t="s">
        <v>808</v>
      </c>
      <c r="B323" s="36" t="s">
        <v>809</v>
      </c>
      <c r="C323" s="25">
        <v>1.0</v>
      </c>
      <c r="D323" s="36" t="s">
        <v>82</v>
      </c>
    </row>
    <row r="324">
      <c r="A324" s="36" t="s">
        <v>810</v>
      </c>
      <c r="B324" s="36" t="s">
        <v>811</v>
      </c>
      <c r="C324" s="25">
        <v>1.0</v>
      </c>
      <c r="D324" s="36" t="s">
        <v>82</v>
      </c>
    </row>
    <row r="325">
      <c r="A325" s="36" t="s">
        <v>812</v>
      </c>
      <c r="B325" s="36" t="s">
        <v>813</v>
      </c>
      <c r="C325" s="25">
        <v>1.0</v>
      </c>
      <c r="D325" s="36" t="s">
        <v>82</v>
      </c>
    </row>
    <row r="326">
      <c r="A326" s="36" t="s">
        <v>814</v>
      </c>
      <c r="B326" s="36" t="s">
        <v>815</v>
      </c>
      <c r="C326" s="25">
        <v>1.0</v>
      </c>
      <c r="D326" s="36" t="s">
        <v>150</v>
      </c>
    </row>
    <row r="327">
      <c r="A327" s="36" t="s">
        <v>816</v>
      </c>
      <c r="B327" s="36" t="s">
        <v>817</v>
      </c>
      <c r="C327" s="25">
        <v>1.0</v>
      </c>
      <c r="D327" s="36" t="s">
        <v>818</v>
      </c>
    </row>
    <row r="328">
      <c r="A328" s="36" t="s">
        <v>820</v>
      </c>
      <c r="B328" s="36" t="s">
        <v>821</v>
      </c>
      <c r="C328" s="25">
        <v>1.0</v>
      </c>
      <c r="D328" s="36" t="s">
        <v>223</v>
      </c>
    </row>
    <row r="329">
      <c r="A329" s="36" t="s">
        <v>823</v>
      </c>
      <c r="B329" s="36" t="s">
        <v>824</v>
      </c>
      <c r="C329" s="25">
        <v>1.0</v>
      </c>
      <c r="D329" s="36" t="s">
        <v>82</v>
      </c>
    </row>
    <row r="330">
      <c r="A330" s="36" t="s">
        <v>825</v>
      </c>
      <c r="B330" s="36" t="s">
        <v>826</v>
      </c>
      <c r="C330" s="25">
        <v>1.0</v>
      </c>
      <c r="D330" s="36" t="s">
        <v>82</v>
      </c>
    </row>
    <row r="331">
      <c r="A331" s="36" t="s">
        <v>168</v>
      </c>
      <c r="B331" s="36" t="s">
        <v>827</v>
      </c>
      <c r="C331" s="25">
        <v>1.0</v>
      </c>
      <c r="D331" s="36" t="s">
        <v>82</v>
      </c>
    </row>
    <row r="332">
      <c r="A332" s="36" t="s">
        <v>828</v>
      </c>
      <c r="B332" s="36" t="s">
        <v>829</v>
      </c>
      <c r="C332" s="25">
        <v>1.0</v>
      </c>
      <c r="D332" s="36" t="s">
        <v>82</v>
      </c>
    </row>
    <row r="333">
      <c r="A333" s="36" t="s">
        <v>830</v>
      </c>
      <c r="B333" s="36" t="s">
        <v>831</v>
      </c>
      <c r="C333" s="25">
        <v>2.0</v>
      </c>
      <c r="D333" s="36" t="s">
        <v>169</v>
      </c>
    </row>
    <row r="334">
      <c r="A334" s="36" t="s">
        <v>833</v>
      </c>
      <c r="B334" s="36" t="s">
        <v>834</v>
      </c>
      <c r="C334" s="25">
        <v>1.0</v>
      </c>
      <c r="D334" s="36" t="s">
        <v>82</v>
      </c>
    </row>
    <row r="335">
      <c r="A335" s="36" t="s">
        <v>836</v>
      </c>
      <c r="B335" s="36" t="s">
        <v>837</v>
      </c>
      <c r="C335" s="25">
        <v>1.0</v>
      </c>
      <c r="D335" s="36" t="s">
        <v>82</v>
      </c>
    </row>
    <row r="336">
      <c r="A336" s="36" t="s">
        <v>838</v>
      </c>
      <c r="B336" s="36" t="s">
        <v>839</v>
      </c>
      <c r="C336" s="25">
        <v>1.0</v>
      </c>
      <c r="D336" s="36" t="s">
        <v>82</v>
      </c>
    </row>
    <row r="337">
      <c r="A337" s="36" t="s">
        <v>840</v>
      </c>
      <c r="B337" s="36" t="s">
        <v>841</v>
      </c>
      <c r="C337" s="25">
        <v>1.0</v>
      </c>
      <c r="D337" s="36" t="s">
        <v>223</v>
      </c>
    </row>
    <row r="338">
      <c r="A338" s="36" t="s">
        <v>842</v>
      </c>
      <c r="B338" s="36" t="s">
        <v>843</v>
      </c>
      <c r="C338" s="25">
        <v>2.0</v>
      </c>
      <c r="D338" s="36" t="s">
        <v>169</v>
      </c>
    </row>
    <row r="339">
      <c r="A339" s="36" t="s">
        <v>844</v>
      </c>
      <c r="B339" s="36" t="s">
        <v>845</v>
      </c>
      <c r="C339" s="25">
        <v>1.0</v>
      </c>
      <c r="D339" s="36" t="s">
        <v>82</v>
      </c>
    </row>
    <row r="340">
      <c r="A340" s="36" t="s">
        <v>846</v>
      </c>
      <c r="B340" s="36" t="s">
        <v>847</v>
      </c>
      <c r="C340" s="25">
        <v>1.0</v>
      </c>
      <c r="D340" s="36" t="s">
        <v>82</v>
      </c>
    </row>
    <row r="341">
      <c r="A341" s="36" t="s">
        <v>849</v>
      </c>
      <c r="B341" s="36" t="s">
        <v>850</v>
      </c>
      <c r="C341" s="25">
        <v>1.0</v>
      </c>
      <c r="D341" s="36" t="s">
        <v>82</v>
      </c>
    </row>
    <row r="342">
      <c r="A342" s="36" t="s">
        <v>852</v>
      </c>
      <c r="B342" s="36" t="s">
        <v>853</v>
      </c>
      <c r="C342" s="25">
        <v>1.0</v>
      </c>
      <c r="D342" s="36" t="s">
        <v>82</v>
      </c>
    </row>
    <row r="343">
      <c r="A343" s="36" t="s">
        <v>854</v>
      </c>
      <c r="B343" s="36" t="s">
        <v>855</v>
      </c>
      <c r="C343" s="25">
        <v>3.0</v>
      </c>
      <c r="D343" s="36" t="s">
        <v>172</v>
      </c>
    </row>
    <row r="344">
      <c r="A344" s="36" t="s">
        <v>856</v>
      </c>
      <c r="B344" s="36" t="s">
        <v>857</v>
      </c>
      <c r="C344" s="25">
        <v>1.0</v>
      </c>
      <c r="D344" s="36" t="s">
        <v>82</v>
      </c>
    </row>
    <row r="345">
      <c r="A345" s="36" t="s">
        <v>626</v>
      </c>
      <c r="B345" s="36" t="s">
        <v>858</v>
      </c>
      <c r="C345" s="25">
        <v>1.0</v>
      </c>
      <c r="D345" s="36" t="s">
        <v>82</v>
      </c>
    </row>
    <row r="346">
      <c r="A346" s="36" t="s">
        <v>859</v>
      </c>
      <c r="B346" s="36" t="s">
        <v>860</v>
      </c>
      <c r="C346" s="25">
        <v>1.0</v>
      </c>
      <c r="D346" s="36" t="s">
        <v>82</v>
      </c>
    </row>
    <row r="347">
      <c r="A347" s="36" t="s">
        <v>861</v>
      </c>
      <c r="B347" s="36" t="s">
        <v>862</v>
      </c>
      <c r="C347" s="25">
        <v>1.0</v>
      </c>
      <c r="D347" s="36" t="s">
        <v>82</v>
      </c>
    </row>
    <row r="348">
      <c r="A348" s="36" t="s">
        <v>863</v>
      </c>
      <c r="B348" s="36" t="s">
        <v>864</v>
      </c>
      <c r="C348" s="25">
        <v>1.0</v>
      </c>
      <c r="D348" s="36" t="s">
        <v>369</v>
      </c>
    </row>
    <row r="349">
      <c r="A349" s="36" t="s">
        <v>865</v>
      </c>
      <c r="B349" s="36" t="s">
        <v>866</v>
      </c>
      <c r="C349" s="25">
        <v>2.0</v>
      </c>
      <c r="D349" s="36" t="s">
        <v>169</v>
      </c>
    </row>
    <row r="350">
      <c r="A350" s="36" t="s">
        <v>867</v>
      </c>
      <c r="B350" s="36" t="s">
        <v>868</v>
      </c>
      <c r="C350" s="25">
        <v>1.0</v>
      </c>
      <c r="D350" s="36" t="s">
        <v>188</v>
      </c>
    </row>
    <row r="351">
      <c r="A351" s="36" t="s">
        <v>870</v>
      </c>
      <c r="B351" s="36" t="s">
        <v>871</v>
      </c>
      <c r="C351" s="25">
        <v>1.0</v>
      </c>
      <c r="D351" s="36" t="s">
        <v>82</v>
      </c>
    </row>
    <row r="352">
      <c r="A352" s="36" t="s">
        <v>872</v>
      </c>
      <c r="B352" s="36" t="s">
        <v>873</v>
      </c>
      <c r="C352" s="25">
        <v>2.0</v>
      </c>
      <c r="D352" s="36" t="s">
        <v>169</v>
      </c>
    </row>
    <row r="353">
      <c r="A353" s="36" t="s">
        <v>874</v>
      </c>
      <c r="B353" s="36" t="s">
        <v>875</v>
      </c>
      <c r="C353" s="25">
        <v>1.0</v>
      </c>
      <c r="D353" s="36" t="s">
        <v>82</v>
      </c>
    </row>
    <row r="354">
      <c r="A354" s="36" t="s">
        <v>783</v>
      </c>
      <c r="B354" s="36" t="s">
        <v>876</v>
      </c>
      <c r="C354" s="25">
        <v>1.0</v>
      </c>
      <c r="D354" s="36" t="s">
        <v>82</v>
      </c>
    </row>
    <row r="355">
      <c r="A355" s="36" t="s">
        <v>877</v>
      </c>
      <c r="B355" s="36" t="s">
        <v>878</v>
      </c>
      <c r="C355" s="25">
        <v>1.0</v>
      </c>
      <c r="D355" s="36" t="s">
        <v>82</v>
      </c>
    </row>
    <row r="356">
      <c r="A356" s="36" t="s">
        <v>879</v>
      </c>
      <c r="B356" s="36" t="s">
        <v>880</v>
      </c>
      <c r="C356" s="25">
        <v>1.0</v>
      </c>
      <c r="D356" s="36" t="s">
        <v>82</v>
      </c>
    </row>
    <row r="357">
      <c r="A357" s="36" t="s">
        <v>881</v>
      </c>
      <c r="B357" s="36" t="s">
        <v>882</v>
      </c>
      <c r="C357" s="25">
        <v>1.0</v>
      </c>
      <c r="D357" s="36" t="s">
        <v>82</v>
      </c>
    </row>
    <row r="358">
      <c r="A358" s="36" t="s">
        <v>680</v>
      </c>
      <c r="B358" s="36" t="s">
        <v>883</v>
      </c>
      <c r="C358" s="25">
        <v>1.0</v>
      </c>
      <c r="D358" s="36" t="s">
        <v>82</v>
      </c>
    </row>
    <row r="359">
      <c r="A359" s="36" t="s">
        <v>884</v>
      </c>
      <c r="B359" s="36" t="s">
        <v>885</v>
      </c>
      <c r="C359" s="25">
        <v>1.0</v>
      </c>
      <c r="D359" s="36" t="s">
        <v>82</v>
      </c>
    </row>
    <row r="360">
      <c r="A360" s="36" t="s">
        <v>886</v>
      </c>
      <c r="B360" s="36" t="s">
        <v>887</v>
      </c>
      <c r="C360" s="25">
        <v>1.0</v>
      </c>
      <c r="D360" s="36" t="s">
        <v>82</v>
      </c>
    </row>
    <row r="361">
      <c r="A361" s="36" t="s">
        <v>888</v>
      </c>
      <c r="B361" s="36" t="s">
        <v>889</v>
      </c>
      <c r="C361" s="25">
        <v>1.0</v>
      </c>
      <c r="D361" s="36" t="s">
        <v>82</v>
      </c>
    </row>
    <row r="362">
      <c r="A362" s="36" t="s">
        <v>890</v>
      </c>
      <c r="B362" s="36" t="s">
        <v>891</v>
      </c>
      <c r="C362" s="25">
        <v>1.0</v>
      </c>
      <c r="D362" s="36" t="s">
        <v>82</v>
      </c>
    </row>
    <row r="363">
      <c r="A363" s="36" t="s">
        <v>893</v>
      </c>
      <c r="B363" s="36" t="s">
        <v>894</v>
      </c>
      <c r="C363" s="25">
        <v>1.0</v>
      </c>
      <c r="D363" s="36" t="s">
        <v>82</v>
      </c>
    </row>
    <row r="364">
      <c r="A364" s="36" t="s">
        <v>895</v>
      </c>
      <c r="B364" s="36" t="s">
        <v>896</v>
      </c>
      <c r="C364" s="25">
        <v>1.0</v>
      </c>
      <c r="D364" s="36" t="s">
        <v>223</v>
      </c>
    </row>
    <row r="365">
      <c r="A365" s="36" t="s">
        <v>897</v>
      </c>
      <c r="B365" s="36" t="s">
        <v>898</v>
      </c>
      <c r="C365" s="25">
        <v>1.0</v>
      </c>
      <c r="D365" s="36" t="s">
        <v>82</v>
      </c>
    </row>
    <row r="366">
      <c r="A366" s="36" t="s">
        <v>851</v>
      </c>
      <c r="B366" s="36" t="s">
        <v>899</v>
      </c>
      <c r="C366" s="25">
        <v>1.0</v>
      </c>
      <c r="D366" s="36" t="s">
        <v>82</v>
      </c>
    </row>
    <row r="367">
      <c r="A367" s="36" t="s">
        <v>900</v>
      </c>
      <c r="B367" s="36" t="s">
        <v>901</v>
      </c>
      <c r="C367" s="25">
        <v>1.0</v>
      </c>
      <c r="D367" s="36" t="s">
        <v>82</v>
      </c>
    </row>
    <row r="368">
      <c r="A368" s="36" t="s">
        <v>902</v>
      </c>
      <c r="B368" s="36" t="s">
        <v>903</v>
      </c>
      <c r="C368" s="25">
        <v>1.0</v>
      </c>
      <c r="D368" s="36" t="s">
        <v>82</v>
      </c>
    </row>
    <row r="369">
      <c r="A369" s="36" t="s">
        <v>904</v>
      </c>
      <c r="B369" s="36" t="s">
        <v>905</v>
      </c>
      <c r="C369" s="25">
        <v>1.0</v>
      </c>
      <c r="D369" s="36" t="s">
        <v>82</v>
      </c>
    </row>
    <row r="370">
      <c r="A370" s="36" t="s">
        <v>906</v>
      </c>
      <c r="B370" s="36" t="s">
        <v>907</v>
      </c>
      <c r="C370" s="25">
        <v>3.0</v>
      </c>
      <c r="D370" s="36" t="s">
        <v>172</v>
      </c>
    </row>
    <row r="371">
      <c r="A371" s="36" t="s">
        <v>908</v>
      </c>
      <c r="B371" s="36" t="s">
        <v>909</v>
      </c>
      <c r="C371" s="25">
        <v>1.0</v>
      </c>
      <c r="D371" s="36" t="s">
        <v>82</v>
      </c>
    </row>
    <row r="372">
      <c r="A372" s="36" t="s">
        <v>910</v>
      </c>
      <c r="B372" s="36" t="s">
        <v>911</v>
      </c>
      <c r="C372" s="25">
        <v>2.0</v>
      </c>
      <c r="D372" s="36" t="s">
        <v>169</v>
      </c>
    </row>
    <row r="373">
      <c r="A373" s="36" t="s">
        <v>912</v>
      </c>
      <c r="B373" s="36" t="s">
        <v>913</v>
      </c>
      <c r="C373" s="25">
        <v>1.0</v>
      </c>
      <c r="D373" s="36" t="s">
        <v>82</v>
      </c>
    </row>
    <row r="374">
      <c r="A374" s="36" t="s">
        <v>916</v>
      </c>
      <c r="B374" s="36" t="s">
        <v>917</v>
      </c>
      <c r="C374" s="25">
        <v>1.0</v>
      </c>
      <c r="D374" s="36" t="s">
        <v>376</v>
      </c>
    </row>
    <row r="375">
      <c r="A375" s="36" t="s">
        <v>918</v>
      </c>
      <c r="B375" s="36" t="s">
        <v>919</v>
      </c>
      <c r="C375" s="25">
        <v>4.0</v>
      </c>
      <c r="D375" s="36" t="s">
        <v>920</v>
      </c>
    </row>
    <row r="376">
      <c r="A376" s="36" t="s">
        <v>921</v>
      </c>
      <c r="B376" s="36" t="s">
        <v>922</v>
      </c>
      <c r="C376" s="25">
        <v>1.0</v>
      </c>
      <c r="D376" s="36" t="s">
        <v>82</v>
      </c>
    </row>
    <row r="377">
      <c r="A377" s="36" t="s">
        <v>923</v>
      </c>
      <c r="B377" s="36" t="s">
        <v>924</v>
      </c>
      <c r="C377" s="25">
        <v>1.0</v>
      </c>
      <c r="D377" s="36" t="s">
        <v>82</v>
      </c>
    </row>
    <row r="378">
      <c r="A378" s="36" t="s">
        <v>925</v>
      </c>
      <c r="B378" s="36" t="s">
        <v>926</v>
      </c>
      <c r="C378" s="25">
        <v>1.0</v>
      </c>
      <c r="D378" s="36" t="s">
        <v>82</v>
      </c>
    </row>
    <row r="379">
      <c r="A379" s="36" t="s">
        <v>929</v>
      </c>
      <c r="B379" s="36" t="s">
        <v>930</v>
      </c>
      <c r="C379" s="25">
        <v>1.0</v>
      </c>
      <c r="D379" s="36" t="s">
        <v>931</v>
      </c>
    </row>
    <row r="380">
      <c r="A380" s="36" t="s">
        <v>932</v>
      </c>
      <c r="B380" s="36" t="s">
        <v>933</v>
      </c>
      <c r="C380" s="25">
        <v>1.0</v>
      </c>
      <c r="D380" s="36" t="s">
        <v>82</v>
      </c>
    </row>
    <row r="381">
      <c r="A381" s="36" t="s">
        <v>934</v>
      </c>
      <c r="B381" s="36" t="s">
        <v>935</v>
      </c>
      <c r="C381" s="25">
        <v>1.0</v>
      </c>
      <c r="D381" s="36" t="s">
        <v>82</v>
      </c>
    </row>
    <row r="382">
      <c r="A382" s="36" t="s">
        <v>936</v>
      </c>
      <c r="B382" s="36" t="s">
        <v>937</v>
      </c>
      <c r="C382" s="25">
        <v>1.0</v>
      </c>
      <c r="D382" s="36" t="s">
        <v>82</v>
      </c>
    </row>
    <row r="383">
      <c r="A383" s="36" t="s">
        <v>938</v>
      </c>
      <c r="B383" s="36" t="s">
        <v>939</v>
      </c>
      <c r="C383" s="25">
        <v>1.0</v>
      </c>
      <c r="D383" s="36" t="s">
        <v>82</v>
      </c>
    </row>
    <row r="384">
      <c r="A384" s="36" t="s">
        <v>940</v>
      </c>
      <c r="B384" s="36" t="s">
        <v>942</v>
      </c>
      <c r="C384" s="25">
        <v>1.0</v>
      </c>
      <c r="D384" s="36" t="s">
        <v>82</v>
      </c>
    </row>
    <row r="385">
      <c r="A385" s="36" t="s">
        <v>944</v>
      </c>
      <c r="B385" s="36" t="s">
        <v>945</v>
      </c>
      <c r="C385" s="25">
        <v>1.0</v>
      </c>
      <c r="D385" s="36" t="s">
        <v>82</v>
      </c>
    </row>
    <row r="386">
      <c r="A386" s="36" t="s">
        <v>946</v>
      </c>
      <c r="B386" s="36" t="s">
        <v>947</v>
      </c>
      <c r="C386" s="25">
        <v>1.0</v>
      </c>
      <c r="D386" s="36" t="s">
        <v>82</v>
      </c>
    </row>
    <row r="387">
      <c r="A387" s="36" t="s">
        <v>948</v>
      </c>
      <c r="B387" s="36" t="s">
        <v>949</v>
      </c>
      <c r="C387" s="25">
        <v>1.0</v>
      </c>
      <c r="D387" s="36" t="s">
        <v>82</v>
      </c>
    </row>
    <row r="388">
      <c r="A388" s="36" t="s">
        <v>950</v>
      </c>
      <c r="B388" s="36" t="s">
        <v>951</v>
      </c>
      <c r="C388" s="25">
        <v>1.0</v>
      </c>
      <c r="D388" s="36" t="s">
        <v>82</v>
      </c>
    </row>
    <row r="389">
      <c r="A389" s="36" t="s">
        <v>952</v>
      </c>
      <c r="B389" s="36" t="s">
        <v>953</v>
      </c>
      <c r="C389" s="25">
        <v>1.0</v>
      </c>
      <c r="D389" s="36" t="s">
        <v>82</v>
      </c>
    </row>
    <row r="390">
      <c r="A390" s="36" t="s">
        <v>954</v>
      </c>
      <c r="B390" s="36" t="s">
        <v>956</v>
      </c>
      <c r="C390" s="25">
        <v>1.0</v>
      </c>
      <c r="D390" s="36" t="s">
        <v>82</v>
      </c>
    </row>
    <row r="391">
      <c r="A391" s="36" t="s">
        <v>958</v>
      </c>
      <c r="B391" s="36" t="s">
        <v>959</v>
      </c>
      <c r="C391" s="25">
        <v>1.0</v>
      </c>
      <c r="D391" s="36" t="s">
        <v>82</v>
      </c>
    </row>
    <row r="392">
      <c r="A392" s="36" t="s">
        <v>960</v>
      </c>
      <c r="B392" s="36" t="s">
        <v>961</v>
      </c>
      <c r="C392" s="25">
        <v>1.0</v>
      </c>
      <c r="D392" s="36" t="s">
        <v>188</v>
      </c>
    </row>
    <row r="393">
      <c r="A393" s="36" t="s">
        <v>963</v>
      </c>
      <c r="B393" s="36" t="s">
        <v>964</v>
      </c>
      <c r="C393" s="25">
        <v>3.0</v>
      </c>
      <c r="D393" s="36" t="s">
        <v>172</v>
      </c>
    </row>
    <row r="394">
      <c r="A394" s="36" t="s">
        <v>965</v>
      </c>
      <c r="B394" s="36" t="s">
        <v>966</v>
      </c>
      <c r="C394" s="25">
        <v>1.0</v>
      </c>
      <c r="D394" s="36" t="s">
        <v>82</v>
      </c>
    </row>
    <row r="395">
      <c r="A395" s="36" t="s">
        <v>967</v>
      </c>
      <c r="B395" s="36" t="s">
        <v>968</v>
      </c>
      <c r="C395" s="25">
        <v>1.0</v>
      </c>
      <c r="D395" s="36" t="s">
        <v>82</v>
      </c>
    </row>
    <row r="396">
      <c r="A396" s="36" t="s">
        <v>969</v>
      </c>
      <c r="B396" s="36" t="s">
        <v>971</v>
      </c>
      <c r="C396" s="25">
        <v>1.0</v>
      </c>
      <c r="D396" s="36" t="s">
        <v>82</v>
      </c>
    </row>
    <row r="397">
      <c r="A397" s="36" t="s">
        <v>972</v>
      </c>
      <c r="B397" s="36" t="s">
        <v>973</v>
      </c>
      <c r="C397" s="25">
        <v>1.0</v>
      </c>
      <c r="D397" s="36" t="s">
        <v>82</v>
      </c>
    </row>
    <row r="398">
      <c r="A398" s="36" t="s">
        <v>974</v>
      </c>
      <c r="B398" s="36" t="s">
        <v>975</v>
      </c>
      <c r="C398" s="25">
        <v>1.0</v>
      </c>
      <c r="D398" s="36" t="s">
        <v>82</v>
      </c>
    </row>
    <row r="399">
      <c r="A399" s="36" t="s">
        <v>976</v>
      </c>
      <c r="B399" s="36" t="s">
        <v>977</v>
      </c>
      <c r="C399" s="25">
        <v>1.0</v>
      </c>
      <c r="D399" s="36" t="s">
        <v>82</v>
      </c>
    </row>
    <row r="400">
      <c r="A400" s="36" t="s">
        <v>978</v>
      </c>
      <c r="B400" s="36" t="s">
        <v>979</v>
      </c>
      <c r="C400" s="25">
        <v>1.0</v>
      </c>
      <c r="D400" s="36" t="s">
        <v>82</v>
      </c>
    </row>
    <row r="401">
      <c r="A401" s="36" t="s">
        <v>981</v>
      </c>
      <c r="B401" s="36" t="s">
        <v>982</v>
      </c>
      <c r="C401" s="25">
        <v>1.0</v>
      </c>
      <c r="D401" s="36" t="s">
        <v>223</v>
      </c>
    </row>
    <row r="402">
      <c r="A402" s="36" t="s">
        <v>984</v>
      </c>
      <c r="B402" s="36" t="s">
        <v>985</v>
      </c>
      <c r="C402" s="25">
        <v>1.0</v>
      </c>
      <c r="D402" s="36" t="s">
        <v>82</v>
      </c>
    </row>
    <row r="403">
      <c r="A403" s="36" t="s">
        <v>986</v>
      </c>
      <c r="B403" s="36" t="s">
        <v>987</v>
      </c>
      <c r="C403" s="25">
        <v>1.0</v>
      </c>
      <c r="D403" s="36" t="s">
        <v>82</v>
      </c>
    </row>
    <row r="404">
      <c r="A404" s="36" t="s">
        <v>988</v>
      </c>
      <c r="B404" s="36" t="s">
        <v>989</v>
      </c>
      <c r="C404" s="25">
        <v>1.0</v>
      </c>
      <c r="D404" s="36" t="s">
        <v>82</v>
      </c>
    </row>
    <row r="405">
      <c r="A405" s="36" t="s">
        <v>928</v>
      </c>
      <c r="B405" s="36" t="s">
        <v>990</v>
      </c>
      <c r="C405" s="25">
        <v>1.0</v>
      </c>
      <c r="D405" s="36" t="s">
        <v>82</v>
      </c>
    </row>
    <row r="406">
      <c r="A406" s="36" t="s">
        <v>991</v>
      </c>
      <c r="B406" s="36" t="s">
        <v>993</v>
      </c>
      <c r="C406" s="25">
        <v>1.0</v>
      </c>
      <c r="D406" s="36" t="s">
        <v>82</v>
      </c>
    </row>
    <row r="407">
      <c r="A407" s="36" t="s">
        <v>994</v>
      </c>
      <c r="B407" s="36" t="s">
        <v>995</v>
      </c>
      <c r="C407" s="25">
        <v>1.0</v>
      </c>
      <c r="D407" s="36" t="s">
        <v>82</v>
      </c>
    </row>
    <row r="408">
      <c r="A408" s="36" t="s">
        <v>996</v>
      </c>
      <c r="B408" s="36" t="s">
        <v>997</v>
      </c>
      <c r="C408" s="25">
        <v>1.0</v>
      </c>
      <c r="D408" s="36" t="s">
        <v>82</v>
      </c>
    </row>
    <row r="409">
      <c r="A409" s="36" t="s">
        <v>998</v>
      </c>
      <c r="B409" s="36" t="s">
        <v>999</v>
      </c>
      <c r="C409" s="25">
        <v>1.0</v>
      </c>
      <c r="D409" s="36" t="s">
        <v>82</v>
      </c>
    </row>
    <row r="410">
      <c r="A410" s="36" t="s">
        <v>481</v>
      </c>
      <c r="B410" s="36" t="s">
        <v>1000</v>
      </c>
      <c r="C410" s="25">
        <v>1.0</v>
      </c>
      <c r="D410" s="36" t="s">
        <v>82</v>
      </c>
    </row>
    <row r="411">
      <c r="A411" s="36" t="s">
        <v>1003</v>
      </c>
      <c r="B411" s="36" t="s">
        <v>1004</v>
      </c>
      <c r="C411" s="25">
        <v>1.0</v>
      </c>
      <c r="D411" s="36" t="s">
        <v>223</v>
      </c>
    </row>
    <row r="412">
      <c r="A412" s="36" t="s">
        <v>1005</v>
      </c>
      <c r="B412" s="36" t="s">
        <v>1006</v>
      </c>
      <c r="C412" s="25">
        <v>1.0</v>
      </c>
      <c r="D412" s="36" t="s">
        <v>82</v>
      </c>
    </row>
    <row r="413">
      <c r="A413" s="36" t="s">
        <v>1007</v>
      </c>
      <c r="B413" s="36" t="s">
        <v>1008</v>
      </c>
      <c r="C413" s="25">
        <v>1.0</v>
      </c>
      <c r="D413" s="36" t="s">
        <v>82</v>
      </c>
    </row>
    <row r="414">
      <c r="A414" s="36" t="s">
        <v>1009</v>
      </c>
      <c r="B414" s="36" t="s">
        <v>1010</v>
      </c>
      <c r="C414" s="25">
        <v>1.0</v>
      </c>
      <c r="D414" s="36" t="s">
        <v>82</v>
      </c>
    </row>
    <row r="415">
      <c r="A415" s="36" t="s">
        <v>1011</v>
      </c>
      <c r="B415" s="36" t="s">
        <v>1012</v>
      </c>
      <c r="C415" s="25">
        <v>2.0</v>
      </c>
      <c r="D415" s="36" t="s">
        <v>534</v>
      </c>
    </row>
    <row r="416">
      <c r="A416" s="36" t="s">
        <v>1013</v>
      </c>
      <c r="B416" s="36" t="s">
        <v>1014</v>
      </c>
      <c r="C416" s="25">
        <v>1.0</v>
      </c>
      <c r="D416" s="36" t="s">
        <v>188</v>
      </c>
    </row>
    <row r="417">
      <c r="A417" s="36" t="s">
        <v>1017</v>
      </c>
      <c r="B417" s="36" t="s">
        <v>1018</v>
      </c>
      <c r="C417" s="25">
        <v>1.0</v>
      </c>
      <c r="D417" s="36" t="s">
        <v>82</v>
      </c>
    </row>
    <row r="418">
      <c r="A418" s="36" t="s">
        <v>1019</v>
      </c>
      <c r="B418" s="36" t="s">
        <v>1020</v>
      </c>
      <c r="C418" s="25">
        <v>1.0</v>
      </c>
      <c r="D418" s="36" t="s">
        <v>82</v>
      </c>
    </row>
    <row r="419">
      <c r="A419" s="36" t="s">
        <v>1021</v>
      </c>
      <c r="B419" s="36" t="s">
        <v>1022</v>
      </c>
      <c r="C419" s="25">
        <v>1.0</v>
      </c>
      <c r="D419" s="36" t="s">
        <v>82</v>
      </c>
    </row>
    <row r="420">
      <c r="A420" s="36" t="s">
        <v>1023</v>
      </c>
      <c r="B420" s="36" t="s">
        <v>1024</v>
      </c>
      <c r="C420" s="25">
        <v>1.0</v>
      </c>
      <c r="D420" s="36" t="s">
        <v>82</v>
      </c>
    </row>
    <row r="421">
      <c r="A421" s="36" t="s">
        <v>1026</v>
      </c>
      <c r="B421" s="36" t="s">
        <v>1027</v>
      </c>
      <c r="C421" s="25">
        <v>1.0</v>
      </c>
      <c r="D421" s="36" t="s">
        <v>82</v>
      </c>
    </row>
    <row r="422">
      <c r="A422" s="36" t="s">
        <v>1028</v>
      </c>
      <c r="B422" s="36" t="s">
        <v>1029</v>
      </c>
      <c r="C422" s="25">
        <v>1.0</v>
      </c>
      <c r="D422" s="36" t="s">
        <v>82</v>
      </c>
    </row>
    <row r="423">
      <c r="A423" s="36" t="s">
        <v>1030</v>
      </c>
      <c r="B423" s="36" t="s">
        <v>1031</v>
      </c>
      <c r="C423" s="25">
        <v>1.0</v>
      </c>
      <c r="D423" s="36" t="s">
        <v>82</v>
      </c>
    </row>
    <row r="424">
      <c r="A424" s="36" t="s">
        <v>1033</v>
      </c>
      <c r="B424" s="36" t="s">
        <v>1034</v>
      </c>
      <c r="C424" s="25">
        <v>1.0</v>
      </c>
      <c r="D424" s="36" t="s">
        <v>82</v>
      </c>
    </row>
    <row r="425">
      <c r="A425" s="36" t="s">
        <v>1035</v>
      </c>
      <c r="B425" s="36" t="s">
        <v>1036</v>
      </c>
      <c r="C425" s="25">
        <v>1.0</v>
      </c>
      <c r="D425" s="36" t="s">
        <v>82</v>
      </c>
    </row>
    <row r="426">
      <c r="A426" s="36" t="s">
        <v>1037</v>
      </c>
      <c r="B426" s="36" t="s">
        <v>1039</v>
      </c>
      <c r="C426" s="25">
        <v>1.0</v>
      </c>
      <c r="D426" s="36" t="s">
        <v>150</v>
      </c>
    </row>
    <row r="427">
      <c r="A427" s="36" t="s">
        <v>229</v>
      </c>
      <c r="B427" s="36" t="s">
        <v>1041</v>
      </c>
      <c r="C427" s="25">
        <v>1.0</v>
      </c>
      <c r="D427" s="36" t="s">
        <v>223</v>
      </c>
    </row>
    <row r="428">
      <c r="A428" s="36" t="s">
        <v>1042</v>
      </c>
      <c r="B428" s="36" t="s">
        <v>1043</v>
      </c>
      <c r="C428" s="25">
        <v>1.0</v>
      </c>
      <c r="D428" s="36" t="s">
        <v>82</v>
      </c>
    </row>
    <row r="429">
      <c r="A429" s="36" t="s">
        <v>1045</v>
      </c>
      <c r="B429" s="36" t="s">
        <v>1047</v>
      </c>
      <c r="C429" s="25">
        <v>1.0</v>
      </c>
      <c r="D429" s="36" t="s">
        <v>82</v>
      </c>
    </row>
    <row r="430">
      <c r="A430" s="36" t="s">
        <v>1048</v>
      </c>
      <c r="B430" s="36" t="s">
        <v>1049</v>
      </c>
      <c r="C430" s="25">
        <v>1.0</v>
      </c>
      <c r="D430" s="36" t="s">
        <v>82</v>
      </c>
    </row>
    <row r="431">
      <c r="A431" s="36" t="s">
        <v>1002</v>
      </c>
      <c r="B431" s="36" t="s">
        <v>1050</v>
      </c>
      <c r="C431" s="25">
        <v>1.0</v>
      </c>
      <c r="D431" s="36" t="s">
        <v>82</v>
      </c>
    </row>
    <row r="432">
      <c r="A432" s="36" t="s">
        <v>1051</v>
      </c>
      <c r="B432" s="36" t="s">
        <v>1052</v>
      </c>
      <c r="C432" s="25">
        <v>1.0</v>
      </c>
      <c r="D432" s="36" t="s">
        <v>82</v>
      </c>
    </row>
    <row r="433">
      <c r="A433" s="36" t="s">
        <v>1054</v>
      </c>
      <c r="B433" s="36" t="s">
        <v>1055</v>
      </c>
      <c r="C433" s="25">
        <v>1.0</v>
      </c>
      <c r="D433" s="36" t="s">
        <v>82</v>
      </c>
    </row>
    <row r="434">
      <c r="A434" s="36" t="s">
        <v>262</v>
      </c>
      <c r="B434" s="36" t="s">
        <v>1056</v>
      </c>
      <c r="C434" s="25">
        <v>1.0</v>
      </c>
      <c r="D434" s="36" t="s">
        <v>82</v>
      </c>
    </row>
    <row r="435">
      <c r="A435" s="36" t="s">
        <v>1057</v>
      </c>
      <c r="B435" s="36" t="s">
        <v>1058</v>
      </c>
      <c r="C435" s="25">
        <v>1.0</v>
      </c>
      <c r="D435" s="36" t="s">
        <v>82</v>
      </c>
    </row>
    <row r="436">
      <c r="A436" s="36" t="s">
        <v>1059</v>
      </c>
      <c r="B436" s="36" t="s">
        <v>1060</v>
      </c>
      <c r="C436" s="25">
        <v>1.0</v>
      </c>
      <c r="D436" s="36" t="s">
        <v>82</v>
      </c>
    </row>
    <row r="437">
      <c r="A437" s="36" t="s">
        <v>1061</v>
      </c>
      <c r="B437" s="36" t="s">
        <v>1062</v>
      </c>
      <c r="C437" s="25">
        <v>1.0</v>
      </c>
      <c r="D437" s="36" t="s">
        <v>82</v>
      </c>
    </row>
    <row r="438">
      <c r="A438" s="36" t="s">
        <v>1063</v>
      </c>
      <c r="B438" s="36" t="s">
        <v>1064</v>
      </c>
      <c r="C438" s="25">
        <v>1.0</v>
      </c>
      <c r="D438" s="36" t="s">
        <v>82</v>
      </c>
    </row>
    <row r="439">
      <c r="A439" s="36" t="s">
        <v>1066</v>
      </c>
      <c r="B439" s="36" t="s">
        <v>1067</v>
      </c>
      <c r="C439" s="25">
        <v>3.0</v>
      </c>
      <c r="D439" s="36" t="s">
        <v>172</v>
      </c>
    </row>
    <row r="440">
      <c r="A440" s="36" t="s">
        <v>1068</v>
      </c>
      <c r="B440" s="36" t="s">
        <v>1069</v>
      </c>
      <c r="C440" s="25">
        <v>1.0</v>
      </c>
      <c r="D440" s="36" t="s">
        <v>82</v>
      </c>
    </row>
    <row r="441">
      <c r="A441" s="36" t="s">
        <v>1070</v>
      </c>
      <c r="B441" s="36" t="s">
        <v>1071</v>
      </c>
      <c r="C441" s="25">
        <v>1.0</v>
      </c>
      <c r="D441" s="36" t="s">
        <v>702</v>
      </c>
    </row>
    <row r="442">
      <c r="A442" s="36" t="s">
        <v>432</v>
      </c>
      <c r="B442" s="36" t="s">
        <v>1072</v>
      </c>
      <c r="C442" s="25">
        <v>1.0</v>
      </c>
      <c r="D442" s="36" t="s">
        <v>82</v>
      </c>
    </row>
    <row r="443">
      <c r="A443" s="36" t="s">
        <v>1073</v>
      </c>
      <c r="B443" s="36" t="s">
        <v>1074</v>
      </c>
      <c r="C443" s="25">
        <v>1.0</v>
      </c>
      <c r="D443" s="36" t="s">
        <v>82</v>
      </c>
    </row>
    <row r="444">
      <c r="A444" s="36" t="s">
        <v>1075</v>
      </c>
      <c r="B444" s="36" t="s">
        <v>1076</v>
      </c>
      <c r="C444" s="25">
        <v>1.0</v>
      </c>
      <c r="D444" s="36" t="s">
        <v>82</v>
      </c>
    </row>
    <row r="445">
      <c r="A445" s="36" t="s">
        <v>463</v>
      </c>
      <c r="B445" s="36" t="s">
        <v>1077</v>
      </c>
      <c r="C445" s="25">
        <v>1.0</v>
      </c>
      <c r="D445" s="36" t="s">
        <v>82</v>
      </c>
    </row>
    <row r="446">
      <c r="A446" s="36" t="s">
        <v>93</v>
      </c>
      <c r="B446" s="36" t="s">
        <v>1079</v>
      </c>
      <c r="C446" s="25">
        <v>1.0</v>
      </c>
      <c r="D446" s="36" t="s">
        <v>82</v>
      </c>
    </row>
    <row r="447">
      <c r="A447" s="36" t="s">
        <v>1080</v>
      </c>
      <c r="B447" s="36" t="s">
        <v>1081</v>
      </c>
      <c r="C447" s="25">
        <v>1.0</v>
      </c>
      <c r="D447" s="36" t="s">
        <v>82</v>
      </c>
    </row>
    <row r="448">
      <c r="A448" s="36" t="s">
        <v>1082</v>
      </c>
      <c r="B448" s="36" t="s">
        <v>1083</v>
      </c>
      <c r="C448" s="25">
        <v>1.0</v>
      </c>
      <c r="D448" s="36" t="s">
        <v>82</v>
      </c>
    </row>
    <row r="449">
      <c r="A449" s="36" t="s">
        <v>584</v>
      </c>
      <c r="B449" s="36" t="s">
        <v>1084</v>
      </c>
      <c r="C449" s="25">
        <v>1.0</v>
      </c>
      <c r="D449" s="36" t="s">
        <v>82</v>
      </c>
    </row>
    <row r="450">
      <c r="A450" s="36" t="s">
        <v>1085</v>
      </c>
      <c r="B450" s="36" t="s">
        <v>1086</v>
      </c>
      <c r="C450" s="25">
        <v>1.0</v>
      </c>
      <c r="D450" s="36" t="s">
        <v>82</v>
      </c>
    </row>
    <row r="451">
      <c r="A451" s="36" t="s">
        <v>1087</v>
      </c>
      <c r="B451" s="36" t="s">
        <v>1088</v>
      </c>
      <c r="C451" s="25">
        <v>1.0</v>
      </c>
      <c r="D451" s="36" t="s">
        <v>82</v>
      </c>
    </row>
    <row r="452">
      <c r="A452" s="36" t="s">
        <v>1089</v>
      </c>
      <c r="B452" s="36" t="s">
        <v>1090</v>
      </c>
      <c r="C452" s="25">
        <v>1.0</v>
      </c>
      <c r="D452" s="36" t="s">
        <v>82</v>
      </c>
    </row>
    <row r="453">
      <c r="A453" s="36" t="s">
        <v>1091</v>
      </c>
      <c r="B453" s="36" t="s">
        <v>1092</v>
      </c>
      <c r="C453" s="25">
        <v>1.0</v>
      </c>
      <c r="D453" s="36" t="s">
        <v>82</v>
      </c>
    </row>
    <row r="454">
      <c r="A454" s="36" t="s">
        <v>1093</v>
      </c>
      <c r="B454" s="36" t="s">
        <v>1094</v>
      </c>
      <c r="C454" s="25">
        <v>1.0</v>
      </c>
      <c r="D454" s="36" t="s">
        <v>82</v>
      </c>
    </row>
    <row r="455">
      <c r="A455" s="36" t="s">
        <v>1095</v>
      </c>
      <c r="B455" s="36" t="s">
        <v>1096</v>
      </c>
      <c r="C455" s="25">
        <v>1.0</v>
      </c>
      <c r="D455" s="36" t="s">
        <v>82</v>
      </c>
    </row>
    <row r="456">
      <c r="A456" s="36" t="s">
        <v>1097</v>
      </c>
      <c r="B456" s="36" t="s">
        <v>1098</v>
      </c>
      <c r="C456" s="25">
        <v>1.0</v>
      </c>
      <c r="D456" s="36" t="s">
        <v>82</v>
      </c>
    </row>
    <row r="457">
      <c r="A457" s="36" t="s">
        <v>1099</v>
      </c>
      <c r="B457" s="36" t="s">
        <v>1100</v>
      </c>
      <c r="C457" s="25">
        <v>1.0</v>
      </c>
      <c r="D457" s="36" t="s">
        <v>369</v>
      </c>
    </row>
    <row r="458">
      <c r="A458" s="36" t="s">
        <v>1101</v>
      </c>
      <c r="B458" s="36" t="s">
        <v>1102</v>
      </c>
      <c r="C458" s="25">
        <v>1.0</v>
      </c>
      <c r="D458" s="36" t="s">
        <v>82</v>
      </c>
    </row>
    <row r="459">
      <c r="A459" s="36" t="s">
        <v>802</v>
      </c>
      <c r="B459" s="36" t="s">
        <v>1104</v>
      </c>
      <c r="C459" s="25">
        <v>1.0</v>
      </c>
      <c r="D459" s="36" t="s">
        <v>82</v>
      </c>
    </row>
    <row r="460">
      <c r="A460" s="36" t="s">
        <v>1105</v>
      </c>
      <c r="B460" s="36" t="s">
        <v>1106</v>
      </c>
      <c r="C460" s="25">
        <v>1.0</v>
      </c>
      <c r="D460" s="36" t="s">
        <v>82</v>
      </c>
    </row>
    <row r="461">
      <c r="A461" s="36" t="s">
        <v>1107</v>
      </c>
      <c r="B461" s="36" t="s">
        <v>1108</v>
      </c>
      <c r="C461" s="25">
        <v>1.0</v>
      </c>
      <c r="D461" s="36" t="s">
        <v>82</v>
      </c>
    </row>
    <row r="462">
      <c r="A462" s="36" t="s">
        <v>1109</v>
      </c>
      <c r="B462" s="36" t="s">
        <v>1110</v>
      </c>
      <c r="C462" s="25">
        <v>1.0</v>
      </c>
      <c r="D462" s="36" t="s">
        <v>188</v>
      </c>
    </row>
    <row r="463">
      <c r="A463" s="36" t="s">
        <v>1111</v>
      </c>
      <c r="B463" s="36" t="s">
        <v>1112</v>
      </c>
      <c r="C463" s="25">
        <v>1.0</v>
      </c>
      <c r="D463" s="36" t="s">
        <v>82</v>
      </c>
    </row>
    <row r="464">
      <c r="A464" s="36" t="s">
        <v>822</v>
      </c>
      <c r="B464" s="36" t="s">
        <v>1113</v>
      </c>
      <c r="C464" s="25">
        <v>1.0</v>
      </c>
      <c r="D464" s="36" t="s">
        <v>82</v>
      </c>
    </row>
    <row r="465">
      <c r="A465" s="36" t="s">
        <v>1114</v>
      </c>
      <c r="B465" s="36" t="s">
        <v>1115</v>
      </c>
      <c r="C465" s="25">
        <v>1.0</v>
      </c>
      <c r="D465" s="36" t="s">
        <v>223</v>
      </c>
    </row>
    <row r="466">
      <c r="A466" s="36" t="s">
        <v>1117</v>
      </c>
      <c r="B466" s="36" t="s">
        <v>1118</v>
      </c>
      <c r="C466" s="25">
        <v>1.0</v>
      </c>
      <c r="D466" s="36" t="s">
        <v>82</v>
      </c>
    </row>
    <row r="467">
      <c r="A467" s="36" t="s">
        <v>1119</v>
      </c>
      <c r="B467" s="36" t="s">
        <v>1120</v>
      </c>
      <c r="C467" s="25">
        <v>1.0</v>
      </c>
      <c r="D467" s="36" t="s">
        <v>82</v>
      </c>
    </row>
    <row r="468">
      <c r="A468" s="36" t="s">
        <v>1121</v>
      </c>
      <c r="B468" s="36" t="s">
        <v>1122</v>
      </c>
      <c r="C468" s="25">
        <v>1.0</v>
      </c>
      <c r="D468" s="36" t="s">
        <v>82</v>
      </c>
    </row>
    <row r="469">
      <c r="A469" s="36" t="s">
        <v>1123</v>
      </c>
      <c r="B469" s="36" t="s">
        <v>1124</v>
      </c>
      <c r="C469" s="25">
        <v>1.0</v>
      </c>
      <c r="D469" s="36" t="s">
        <v>150</v>
      </c>
    </row>
    <row r="470">
      <c r="A470" s="36" t="s">
        <v>1125</v>
      </c>
      <c r="B470" s="36" t="s">
        <v>1126</v>
      </c>
      <c r="C470" s="25">
        <v>1.0</v>
      </c>
      <c r="D470" s="36" t="s">
        <v>82</v>
      </c>
    </row>
    <row r="471">
      <c r="A471" s="36" t="s">
        <v>1127</v>
      </c>
      <c r="B471" s="36" t="s">
        <v>1128</v>
      </c>
      <c r="C471" s="25">
        <v>2.0</v>
      </c>
      <c r="D471" s="36" t="s">
        <v>169</v>
      </c>
    </row>
    <row r="472">
      <c r="A472" s="36" t="s">
        <v>1129</v>
      </c>
      <c r="B472" s="36" t="s">
        <v>1130</v>
      </c>
      <c r="C472" s="25">
        <v>1.0</v>
      </c>
      <c r="D472" s="36" t="s">
        <v>223</v>
      </c>
    </row>
    <row r="473">
      <c r="A473" s="36" t="s">
        <v>1131</v>
      </c>
      <c r="B473" s="36" t="s">
        <v>1132</v>
      </c>
      <c r="C473" s="25">
        <v>1.0</v>
      </c>
      <c r="D473" s="36" t="s">
        <v>82</v>
      </c>
    </row>
    <row r="474">
      <c r="A474" s="36" t="s">
        <v>1134</v>
      </c>
      <c r="B474" s="36" t="s">
        <v>1135</v>
      </c>
      <c r="C474" s="25">
        <v>1.0</v>
      </c>
      <c r="D474" s="36" t="s">
        <v>82</v>
      </c>
    </row>
    <row r="475">
      <c r="A475" s="36" t="s">
        <v>1137</v>
      </c>
      <c r="B475" s="36" t="s">
        <v>1138</v>
      </c>
      <c r="C475" s="25">
        <v>1.0</v>
      </c>
      <c r="D475" s="36" t="s">
        <v>82</v>
      </c>
    </row>
    <row r="476">
      <c r="A476" s="36" t="s">
        <v>1139</v>
      </c>
      <c r="B476" s="36" t="s">
        <v>1140</v>
      </c>
      <c r="C476" s="25">
        <v>1.0</v>
      </c>
      <c r="D476" s="36" t="s">
        <v>82</v>
      </c>
    </row>
    <row r="477">
      <c r="A477" s="36" t="s">
        <v>1141</v>
      </c>
      <c r="B477" s="36" t="s">
        <v>1142</v>
      </c>
      <c r="C477" s="25">
        <v>2.0</v>
      </c>
      <c r="D477" s="36" t="s">
        <v>169</v>
      </c>
    </row>
    <row r="478">
      <c r="A478" s="36" t="s">
        <v>1144</v>
      </c>
      <c r="B478" s="36" t="s">
        <v>1146</v>
      </c>
      <c r="C478" s="25">
        <v>1.0</v>
      </c>
      <c r="D478" s="36" t="s">
        <v>223</v>
      </c>
    </row>
    <row r="479">
      <c r="A479" s="36" t="s">
        <v>1147</v>
      </c>
      <c r="B479" s="36" t="s">
        <v>1148</v>
      </c>
      <c r="C479" s="25">
        <v>1.0</v>
      </c>
      <c r="D479" s="36" t="s">
        <v>82</v>
      </c>
    </row>
    <row r="480">
      <c r="A480" s="36" t="s">
        <v>1149</v>
      </c>
      <c r="B480" s="36" t="s">
        <v>1150</v>
      </c>
      <c r="C480" s="25">
        <v>1.0</v>
      </c>
      <c r="D480" s="36" t="s">
        <v>82</v>
      </c>
    </row>
    <row r="481">
      <c r="A481" s="36" t="s">
        <v>1151</v>
      </c>
      <c r="B481" s="36" t="s">
        <v>1152</v>
      </c>
      <c r="C481" s="25">
        <v>1.0</v>
      </c>
      <c r="D481" s="36" t="s">
        <v>82</v>
      </c>
    </row>
    <row r="482">
      <c r="A482" s="36" t="s">
        <v>1154</v>
      </c>
      <c r="B482" s="36" t="s">
        <v>1155</v>
      </c>
      <c r="C482" s="25">
        <v>1.0</v>
      </c>
      <c r="D482" s="36" t="s">
        <v>82</v>
      </c>
    </row>
    <row r="483">
      <c r="A483" s="36" t="s">
        <v>1156</v>
      </c>
      <c r="B483" s="36" t="s">
        <v>1157</v>
      </c>
      <c r="C483" s="25">
        <v>2.0</v>
      </c>
      <c r="D483" s="36" t="s">
        <v>169</v>
      </c>
    </row>
    <row r="484">
      <c r="A484" s="36" t="s">
        <v>1158</v>
      </c>
      <c r="B484" s="36" t="s">
        <v>1159</v>
      </c>
      <c r="C484" s="25">
        <v>1.0</v>
      </c>
      <c r="D484" s="36" t="s">
        <v>82</v>
      </c>
    </row>
    <row r="485">
      <c r="A485" s="36" t="s">
        <v>957</v>
      </c>
      <c r="B485" s="36" t="s">
        <v>1160</v>
      </c>
      <c r="C485" s="25">
        <v>1.0</v>
      </c>
      <c r="D485" s="36" t="s">
        <v>82</v>
      </c>
    </row>
    <row r="486">
      <c r="A486" s="36" t="s">
        <v>1162</v>
      </c>
      <c r="B486" s="36" t="s">
        <v>1163</v>
      </c>
      <c r="C486" s="25">
        <v>1.0</v>
      </c>
      <c r="D486" s="36" t="s">
        <v>82</v>
      </c>
    </row>
    <row r="487">
      <c r="A487" s="36" t="s">
        <v>1164</v>
      </c>
      <c r="B487" s="36" t="s">
        <v>1165</v>
      </c>
      <c r="C487" s="25">
        <v>1.0</v>
      </c>
      <c r="D487" s="36" t="s">
        <v>82</v>
      </c>
    </row>
    <row r="488">
      <c r="A488" s="36" t="s">
        <v>1166</v>
      </c>
      <c r="B488" s="36" t="s">
        <v>1167</v>
      </c>
      <c r="C488" s="25">
        <v>1.0</v>
      </c>
      <c r="D488" s="36" t="s">
        <v>82</v>
      </c>
    </row>
    <row r="489">
      <c r="A489" s="36" t="s">
        <v>1168</v>
      </c>
      <c r="B489" s="36" t="s">
        <v>1170</v>
      </c>
      <c r="C489" s="25">
        <v>1.0</v>
      </c>
      <c r="D489" s="36" t="s">
        <v>82</v>
      </c>
    </row>
    <row r="490">
      <c r="A490" s="36" t="s">
        <v>1171</v>
      </c>
      <c r="B490" s="36" t="s">
        <v>1172</v>
      </c>
      <c r="C490" s="25">
        <v>1.0</v>
      </c>
      <c r="D490" s="36" t="s">
        <v>82</v>
      </c>
    </row>
    <row r="491">
      <c r="A491" s="36" t="s">
        <v>1173</v>
      </c>
      <c r="B491" s="36" t="s">
        <v>1174</v>
      </c>
      <c r="C491" s="25">
        <v>1.0</v>
      </c>
      <c r="D491" s="36" t="s">
        <v>82</v>
      </c>
    </row>
    <row r="492">
      <c r="A492" s="36" t="s">
        <v>1175</v>
      </c>
      <c r="B492" s="36" t="s">
        <v>1176</v>
      </c>
      <c r="C492" s="25">
        <v>1.0</v>
      </c>
      <c r="D492" s="36" t="s">
        <v>82</v>
      </c>
    </row>
    <row r="493">
      <c r="A493" s="36" t="s">
        <v>1177</v>
      </c>
      <c r="B493" s="36" t="s">
        <v>1179</v>
      </c>
      <c r="C493" s="25">
        <v>1.0</v>
      </c>
      <c r="D493" s="36" t="s">
        <v>82</v>
      </c>
    </row>
    <row r="494">
      <c r="A494" s="36" t="s">
        <v>1180</v>
      </c>
      <c r="B494" s="36" t="s">
        <v>1181</v>
      </c>
      <c r="C494" s="25">
        <v>1.0</v>
      </c>
      <c r="D494" s="36" t="s">
        <v>82</v>
      </c>
    </row>
    <row r="495">
      <c r="A495" s="36" t="s">
        <v>1182</v>
      </c>
      <c r="B495" s="36" t="s">
        <v>1183</v>
      </c>
      <c r="C495" s="25">
        <v>1.0</v>
      </c>
      <c r="D495" s="36" t="s">
        <v>82</v>
      </c>
    </row>
    <row r="496">
      <c r="A496" s="36" t="s">
        <v>1184</v>
      </c>
      <c r="B496" s="36" t="s">
        <v>1185</v>
      </c>
      <c r="C496" s="25">
        <v>1.0</v>
      </c>
      <c r="D496" s="36" t="s">
        <v>82</v>
      </c>
    </row>
    <row r="497">
      <c r="A497" s="36" t="s">
        <v>1186</v>
      </c>
      <c r="B497" s="36" t="s">
        <v>1187</v>
      </c>
      <c r="C497" s="25">
        <v>1.0</v>
      </c>
      <c r="D497" s="36" t="s">
        <v>82</v>
      </c>
    </row>
    <row r="498">
      <c r="A498" s="36" t="s">
        <v>1189</v>
      </c>
      <c r="B498" s="36" t="s">
        <v>1190</v>
      </c>
      <c r="C498" s="25">
        <v>1.0</v>
      </c>
      <c r="D498" s="36" t="s">
        <v>82</v>
      </c>
    </row>
    <row r="499">
      <c r="A499" s="36" t="s">
        <v>1191</v>
      </c>
      <c r="B499" s="36" t="s">
        <v>1192</v>
      </c>
      <c r="C499" s="25">
        <v>1.0</v>
      </c>
      <c r="D499" s="36" t="s">
        <v>82</v>
      </c>
    </row>
    <row r="500">
      <c r="A500" s="36" t="s">
        <v>1193</v>
      </c>
      <c r="B500" s="36" t="s">
        <v>1194</v>
      </c>
      <c r="C500" s="25">
        <v>1.0</v>
      </c>
      <c r="D500" s="36" t="s">
        <v>188</v>
      </c>
    </row>
    <row r="501">
      <c r="A501" s="36" t="s">
        <v>1196</v>
      </c>
      <c r="B501" s="36" t="s">
        <v>1197</v>
      </c>
      <c r="C501" s="25">
        <v>1.0</v>
      </c>
      <c r="D501" s="36" t="s">
        <v>82</v>
      </c>
    </row>
    <row r="502">
      <c r="A502" s="36" t="s">
        <v>1198</v>
      </c>
      <c r="B502" s="36" t="s">
        <v>1199</v>
      </c>
      <c r="C502" s="25">
        <v>1.0</v>
      </c>
      <c r="D502" s="36" t="s">
        <v>82</v>
      </c>
    </row>
    <row r="503">
      <c r="A503" s="36" t="s">
        <v>1200</v>
      </c>
      <c r="B503" s="36" t="s">
        <v>1201</v>
      </c>
      <c r="C503" s="25">
        <v>1.0</v>
      </c>
      <c r="D503" s="36" t="s">
        <v>82</v>
      </c>
    </row>
    <row r="504">
      <c r="A504" s="36" t="s">
        <v>1202</v>
      </c>
      <c r="B504" s="36" t="s">
        <v>1204</v>
      </c>
      <c r="C504" s="25">
        <v>1.0</v>
      </c>
      <c r="D504" s="36" t="s">
        <v>82</v>
      </c>
    </row>
    <row r="505">
      <c r="A505" s="36" t="s">
        <v>1205</v>
      </c>
      <c r="B505" s="36" t="s">
        <v>1206</v>
      </c>
      <c r="C505" s="25">
        <v>1.0</v>
      </c>
      <c r="D505" s="36" t="s">
        <v>82</v>
      </c>
    </row>
    <row r="506">
      <c r="A506" s="36" t="s">
        <v>1207</v>
      </c>
      <c r="B506" s="36" t="s">
        <v>1208</v>
      </c>
      <c r="C506" s="25">
        <v>1.0</v>
      </c>
      <c r="D506" s="36" t="s">
        <v>82</v>
      </c>
    </row>
    <row r="507">
      <c r="A507" s="36" t="s">
        <v>1209</v>
      </c>
      <c r="B507" s="36" t="s">
        <v>1210</v>
      </c>
      <c r="C507" s="25">
        <v>1.0</v>
      </c>
      <c r="D507" s="36" t="s">
        <v>223</v>
      </c>
    </row>
    <row r="508">
      <c r="A508" s="36" t="s">
        <v>1211</v>
      </c>
      <c r="B508" s="36" t="s">
        <v>1212</v>
      </c>
      <c r="C508" s="25">
        <v>1.0</v>
      </c>
      <c r="D508" s="36" t="s">
        <v>82</v>
      </c>
    </row>
    <row r="509">
      <c r="A509" s="36" t="s">
        <v>1213</v>
      </c>
      <c r="B509" s="36" t="s">
        <v>1215</v>
      </c>
      <c r="C509" s="25">
        <v>1.0</v>
      </c>
      <c r="D509" s="36" t="s">
        <v>82</v>
      </c>
    </row>
    <row r="510">
      <c r="A510" s="36" t="s">
        <v>1216</v>
      </c>
      <c r="B510" s="36" t="s">
        <v>1217</v>
      </c>
      <c r="C510" s="25">
        <v>1.0</v>
      </c>
      <c r="D510" s="36" t="s">
        <v>82</v>
      </c>
    </row>
    <row r="511">
      <c r="A511" s="36" t="s">
        <v>1218</v>
      </c>
      <c r="B511" s="36" t="s">
        <v>1219</v>
      </c>
      <c r="C511" s="25">
        <v>1.0</v>
      </c>
      <c r="D511" s="36" t="s">
        <v>82</v>
      </c>
    </row>
    <row r="512">
      <c r="A512" s="36" t="s">
        <v>1220</v>
      </c>
      <c r="B512" s="36" t="s">
        <v>1221</v>
      </c>
      <c r="C512" s="25">
        <v>1.0</v>
      </c>
      <c r="D512" s="36" t="s">
        <v>82</v>
      </c>
    </row>
    <row r="513">
      <c r="A513" s="36" t="s">
        <v>1222</v>
      </c>
      <c r="B513" s="36" t="s">
        <v>1223</v>
      </c>
      <c r="C513" s="25">
        <v>1.0</v>
      </c>
      <c r="D513" s="36" t="s">
        <v>82</v>
      </c>
    </row>
    <row r="514">
      <c r="A514" s="36" t="s">
        <v>691</v>
      </c>
      <c r="B514" s="36" t="s">
        <v>1225</v>
      </c>
      <c r="C514" s="25">
        <v>1.0</v>
      </c>
      <c r="D514" s="36" t="s">
        <v>82</v>
      </c>
    </row>
    <row r="515">
      <c r="A515" s="36" t="s">
        <v>1227</v>
      </c>
      <c r="B515" s="36" t="s">
        <v>1228</v>
      </c>
      <c r="C515" s="25">
        <v>1.0</v>
      </c>
      <c r="D515" s="36" t="s">
        <v>82</v>
      </c>
    </row>
    <row r="516">
      <c r="A516" s="36" t="s">
        <v>1229</v>
      </c>
      <c r="B516" s="36" t="s">
        <v>1231</v>
      </c>
      <c r="C516" s="25">
        <v>1.0</v>
      </c>
      <c r="D516" s="36" t="s">
        <v>1232</v>
      </c>
    </row>
    <row r="517">
      <c r="A517" s="36" t="s">
        <v>1233</v>
      </c>
      <c r="B517" s="36" t="s">
        <v>1234</v>
      </c>
      <c r="C517" s="25">
        <v>1.0</v>
      </c>
      <c r="D517" s="36" t="s">
        <v>82</v>
      </c>
    </row>
    <row r="518">
      <c r="A518" s="36" t="s">
        <v>1235</v>
      </c>
      <c r="B518" s="36" t="s">
        <v>1236</v>
      </c>
      <c r="C518" s="25">
        <v>1.0</v>
      </c>
      <c r="D518" s="36" t="s">
        <v>82</v>
      </c>
    </row>
    <row r="519">
      <c r="A519" s="36" t="s">
        <v>1237</v>
      </c>
      <c r="B519" s="36" t="s">
        <v>1238</v>
      </c>
      <c r="C519" s="25">
        <v>1.0</v>
      </c>
      <c r="D519" s="36" t="s">
        <v>82</v>
      </c>
    </row>
    <row r="520">
      <c r="A520" s="36" t="s">
        <v>1239</v>
      </c>
      <c r="B520" s="36" t="s">
        <v>1240</v>
      </c>
      <c r="C520" s="25">
        <v>3.0</v>
      </c>
      <c r="D520" s="36" t="s">
        <v>172</v>
      </c>
    </row>
    <row r="521">
      <c r="A521" s="36" t="s">
        <v>1241</v>
      </c>
      <c r="B521" s="36" t="s">
        <v>1242</v>
      </c>
      <c r="C521" s="25">
        <v>1.0</v>
      </c>
      <c r="D521" s="36" t="s">
        <v>82</v>
      </c>
    </row>
    <row r="522">
      <c r="A522" s="36" t="s">
        <v>1243</v>
      </c>
      <c r="B522" s="36" t="s">
        <v>1244</v>
      </c>
      <c r="C522" s="25">
        <v>2.0</v>
      </c>
      <c r="D522" s="36" t="s">
        <v>169</v>
      </c>
    </row>
    <row r="523">
      <c r="A523" s="36" t="s">
        <v>1246</v>
      </c>
      <c r="B523" s="36" t="s">
        <v>1247</v>
      </c>
      <c r="C523" s="25">
        <v>1.0</v>
      </c>
      <c r="D523" s="36" t="s">
        <v>82</v>
      </c>
    </row>
    <row r="524">
      <c r="A524" s="36" t="s">
        <v>1248</v>
      </c>
      <c r="B524" s="36" t="s">
        <v>1249</v>
      </c>
      <c r="C524" s="25">
        <v>2.0</v>
      </c>
      <c r="D524" s="36" t="s">
        <v>169</v>
      </c>
    </row>
    <row r="525">
      <c r="A525" s="36" t="s">
        <v>1250</v>
      </c>
      <c r="B525" s="36" t="s">
        <v>1251</v>
      </c>
      <c r="C525" s="25">
        <v>1.0</v>
      </c>
      <c r="D525" s="36" t="s">
        <v>82</v>
      </c>
    </row>
    <row r="526">
      <c r="A526" s="36" t="s">
        <v>1252</v>
      </c>
      <c r="B526" s="36" t="s">
        <v>1253</v>
      </c>
      <c r="C526" s="25">
        <v>1.0</v>
      </c>
      <c r="D526" s="36" t="s">
        <v>82</v>
      </c>
    </row>
    <row r="527">
      <c r="A527" s="36" t="s">
        <v>48</v>
      </c>
      <c r="B527" s="36" t="s">
        <v>1254</v>
      </c>
      <c r="C527" s="25">
        <v>1.0</v>
      </c>
      <c r="D527" s="36" t="s">
        <v>223</v>
      </c>
    </row>
    <row r="528">
      <c r="A528" s="36" t="s">
        <v>1256</v>
      </c>
      <c r="B528" s="36" t="s">
        <v>1257</v>
      </c>
      <c r="C528" s="25">
        <v>2.0</v>
      </c>
      <c r="D528" s="36" t="s">
        <v>169</v>
      </c>
    </row>
    <row r="529">
      <c r="A529" s="36" t="s">
        <v>1258</v>
      </c>
      <c r="B529" s="36" t="s">
        <v>1259</v>
      </c>
      <c r="C529" s="25">
        <v>1.0</v>
      </c>
      <c r="D529" s="36" t="s">
        <v>82</v>
      </c>
    </row>
    <row r="530">
      <c r="A530" s="36" t="s">
        <v>1260</v>
      </c>
      <c r="B530" s="36" t="s">
        <v>1261</v>
      </c>
      <c r="C530" s="25">
        <v>1.0</v>
      </c>
      <c r="D530" s="36" t="s">
        <v>82</v>
      </c>
    </row>
    <row r="531">
      <c r="A531" s="36" t="s">
        <v>1262</v>
      </c>
      <c r="B531" s="36" t="s">
        <v>1264</v>
      </c>
      <c r="C531" s="25">
        <v>1.0</v>
      </c>
      <c r="D531" s="36" t="s">
        <v>82</v>
      </c>
    </row>
    <row r="532">
      <c r="A532" s="36" t="s">
        <v>1265</v>
      </c>
      <c r="B532" s="36" t="s">
        <v>1266</v>
      </c>
      <c r="C532" s="25">
        <v>1.0</v>
      </c>
      <c r="D532" s="36" t="s">
        <v>82</v>
      </c>
    </row>
    <row r="533">
      <c r="A533" s="36" t="s">
        <v>1267</v>
      </c>
      <c r="B533" s="36" t="s">
        <v>1268</v>
      </c>
      <c r="C533" s="25">
        <v>2.0</v>
      </c>
      <c r="D533" s="36" t="s">
        <v>169</v>
      </c>
    </row>
    <row r="534">
      <c r="A534" s="36" t="s">
        <v>1269</v>
      </c>
      <c r="B534" s="36" t="s">
        <v>1270</v>
      </c>
      <c r="C534" s="25">
        <v>2.0</v>
      </c>
      <c r="D534" s="36" t="s">
        <v>169</v>
      </c>
    </row>
    <row r="535">
      <c r="A535" s="36" t="s">
        <v>1272</v>
      </c>
      <c r="B535" s="36" t="s">
        <v>1273</v>
      </c>
      <c r="C535" s="25">
        <v>1.0</v>
      </c>
      <c r="D535" s="36" t="s">
        <v>82</v>
      </c>
    </row>
    <row r="536">
      <c r="A536" s="36" t="s">
        <v>1274</v>
      </c>
      <c r="B536" s="36" t="s">
        <v>1275</v>
      </c>
      <c r="C536" s="25">
        <v>1.0</v>
      </c>
      <c r="D536" s="36" t="s">
        <v>223</v>
      </c>
    </row>
    <row r="537">
      <c r="A537" s="36" t="s">
        <v>1276</v>
      </c>
      <c r="B537" s="36" t="s">
        <v>1277</v>
      </c>
      <c r="C537" s="25">
        <v>1.0</v>
      </c>
      <c r="D537" s="36" t="s">
        <v>82</v>
      </c>
    </row>
    <row r="538">
      <c r="A538" s="36" t="s">
        <v>1145</v>
      </c>
      <c r="B538" s="36" t="s">
        <v>1278</v>
      </c>
      <c r="C538" s="25">
        <v>2.0</v>
      </c>
      <c r="D538" s="36" t="s">
        <v>169</v>
      </c>
    </row>
    <row r="539">
      <c r="A539" s="36" t="s">
        <v>1279</v>
      </c>
      <c r="B539" s="36" t="s">
        <v>1280</v>
      </c>
      <c r="C539" s="25">
        <v>1.0</v>
      </c>
      <c r="D539" s="36" t="s">
        <v>82</v>
      </c>
    </row>
    <row r="540">
      <c r="A540" s="36" t="s">
        <v>1283</v>
      </c>
      <c r="B540" s="36" t="s">
        <v>1284</v>
      </c>
      <c r="C540" s="25">
        <v>1.0</v>
      </c>
      <c r="D540" s="36" t="s">
        <v>82</v>
      </c>
    </row>
    <row r="541">
      <c r="A541" s="36" t="s">
        <v>1285</v>
      </c>
      <c r="B541" s="36" t="s">
        <v>1286</v>
      </c>
      <c r="C541" s="25">
        <v>3.0</v>
      </c>
      <c r="D541" s="36" t="s">
        <v>172</v>
      </c>
    </row>
    <row r="542">
      <c r="A542" s="36" t="s">
        <v>1287</v>
      </c>
      <c r="B542" s="36" t="s">
        <v>1288</v>
      </c>
      <c r="C542" s="25">
        <v>1.0</v>
      </c>
      <c r="D542" s="36" t="s">
        <v>82</v>
      </c>
    </row>
    <row r="543">
      <c r="A543" s="36" t="s">
        <v>1289</v>
      </c>
      <c r="B543" s="36" t="s">
        <v>1290</v>
      </c>
      <c r="C543" s="25">
        <v>1.0</v>
      </c>
      <c r="D543" s="36" t="s">
        <v>82</v>
      </c>
    </row>
    <row r="544">
      <c r="A544" s="36" t="s">
        <v>330</v>
      </c>
      <c r="B544" s="36" t="s">
        <v>1291</v>
      </c>
      <c r="C544" s="25">
        <v>1.0</v>
      </c>
      <c r="D544" s="36" t="s">
        <v>82</v>
      </c>
    </row>
    <row r="545">
      <c r="A545" s="36" t="s">
        <v>1292</v>
      </c>
      <c r="B545" s="36" t="s">
        <v>1294</v>
      </c>
      <c r="C545" s="25">
        <v>2.0</v>
      </c>
      <c r="D545" s="36" t="s">
        <v>169</v>
      </c>
    </row>
    <row r="546">
      <c r="A546" s="36" t="s">
        <v>1295</v>
      </c>
      <c r="B546" s="36" t="s">
        <v>1296</v>
      </c>
      <c r="C546" s="25">
        <v>1.0</v>
      </c>
      <c r="D546" s="36" t="s">
        <v>223</v>
      </c>
    </row>
    <row r="547">
      <c r="A547" s="36" t="s">
        <v>79</v>
      </c>
      <c r="B547" s="36" t="s">
        <v>1297</v>
      </c>
      <c r="C547" s="25">
        <v>1.0</v>
      </c>
      <c r="D547" s="36" t="s">
        <v>82</v>
      </c>
    </row>
    <row r="548">
      <c r="A548" s="36" t="s">
        <v>1299</v>
      </c>
      <c r="B548" s="36" t="s">
        <v>1300</v>
      </c>
      <c r="C548" s="25">
        <v>1.0</v>
      </c>
      <c r="D548" s="36" t="s">
        <v>1301</v>
      </c>
    </row>
    <row r="549">
      <c r="A549" s="36" t="s">
        <v>1302</v>
      </c>
      <c r="B549" s="36" t="s">
        <v>1303</v>
      </c>
      <c r="C549" s="25">
        <v>1.0</v>
      </c>
      <c r="D549" s="36" t="s">
        <v>82</v>
      </c>
    </row>
    <row r="550">
      <c r="A550" s="36" t="s">
        <v>1304</v>
      </c>
      <c r="B550" s="36" t="s">
        <v>1305</v>
      </c>
      <c r="C550" s="25">
        <v>1.0</v>
      </c>
      <c r="D550" s="36" t="s">
        <v>150</v>
      </c>
    </row>
    <row r="551">
      <c r="A551" s="36" t="s">
        <v>1307</v>
      </c>
      <c r="B551" s="36" t="s">
        <v>1308</v>
      </c>
      <c r="C551" s="25">
        <v>1.0</v>
      </c>
      <c r="D551" s="36" t="s">
        <v>82</v>
      </c>
    </row>
    <row r="552">
      <c r="A552" s="36" t="s">
        <v>1309</v>
      </c>
      <c r="B552" s="36" t="s">
        <v>1310</v>
      </c>
      <c r="C552" s="25">
        <v>1.0</v>
      </c>
      <c r="D552" s="36" t="s">
        <v>82</v>
      </c>
    </row>
    <row r="553">
      <c r="A553" s="36" t="s">
        <v>1311</v>
      </c>
      <c r="B553" s="36" t="s">
        <v>1312</v>
      </c>
      <c r="C553" s="25">
        <v>1.0</v>
      </c>
      <c r="D553" s="36" t="s">
        <v>82</v>
      </c>
    </row>
    <row r="554">
      <c r="A554" s="36" t="s">
        <v>1314</v>
      </c>
      <c r="B554" s="36" t="s">
        <v>1316</v>
      </c>
      <c r="C554" s="25">
        <v>1.0</v>
      </c>
      <c r="D554" s="36" t="s">
        <v>82</v>
      </c>
    </row>
    <row r="555">
      <c r="A555" s="36" t="s">
        <v>1317</v>
      </c>
      <c r="B555" s="36" t="s">
        <v>1318</v>
      </c>
      <c r="C555" s="25">
        <v>1.0</v>
      </c>
      <c r="D555" s="36" t="s">
        <v>82</v>
      </c>
    </row>
    <row r="556">
      <c r="A556" s="36" t="s">
        <v>1319</v>
      </c>
      <c r="B556" s="36" t="s">
        <v>1320</v>
      </c>
      <c r="C556" s="25">
        <v>1.0</v>
      </c>
      <c r="D556" s="36" t="s">
        <v>150</v>
      </c>
    </row>
    <row r="557">
      <c r="A557" s="36" t="s">
        <v>1321</v>
      </c>
      <c r="B557" s="36" t="s">
        <v>1323</v>
      </c>
      <c r="C557" s="25">
        <v>2.0</v>
      </c>
      <c r="D557" s="36" t="s">
        <v>169</v>
      </c>
    </row>
    <row r="558">
      <c r="A558" s="36" t="s">
        <v>1324</v>
      </c>
      <c r="B558" s="36" t="s">
        <v>1325</v>
      </c>
      <c r="C558" s="25">
        <v>1.0</v>
      </c>
      <c r="D558" s="36" t="s">
        <v>137</v>
      </c>
    </row>
    <row r="559">
      <c r="A559" s="36" t="s">
        <v>1326</v>
      </c>
      <c r="B559" s="36" t="s">
        <v>1327</v>
      </c>
      <c r="C559" s="25">
        <v>1.0</v>
      </c>
      <c r="D559" s="36" t="s">
        <v>223</v>
      </c>
    </row>
    <row r="560">
      <c r="A560" s="36" t="s">
        <v>1328</v>
      </c>
      <c r="B560" s="36" t="s">
        <v>1329</v>
      </c>
      <c r="C560" s="25">
        <v>1.0</v>
      </c>
      <c r="D560" s="36" t="s">
        <v>82</v>
      </c>
    </row>
    <row r="561">
      <c r="A561" s="36" t="s">
        <v>1332</v>
      </c>
      <c r="B561" s="36" t="s">
        <v>1333</v>
      </c>
      <c r="C561" s="25">
        <v>1.0</v>
      </c>
      <c r="D561" s="36" t="s">
        <v>223</v>
      </c>
    </row>
    <row r="562">
      <c r="A562" s="36" t="s">
        <v>1334</v>
      </c>
      <c r="B562" s="36" t="s">
        <v>1335</v>
      </c>
      <c r="C562" s="25">
        <v>1.0</v>
      </c>
      <c r="D562" s="36" t="s">
        <v>82</v>
      </c>
    </row>
    <row r="563">
      <c r="A563" s="36" t="s">
        <v>1336</v>
      </c>
      <c r="B563" s="36" t="s">
        <v>1337</v>
      </c>
      <c r="C563" s="25">
        <v>1.0</v>
      </c>
      <c r="D563" s="36" t="s">
        <v>82</v>
      </c>
    </row>
    <row r="564">
      <c r="A564" s="36" t="s">
        <v>1338</v>
      </c>
      <c r="B564" s="36" t="s">
        <v>1339</v>
      </c>
      <c r="C564" s="25">
        <v>2.0</v>
      </c>
      <c r="D564" s="36" t="s">
        <v>169</v>
      </c>
    </row>
    <row r="565">
      <c r="A565" s="36" t="s">
        <v>1340</v>
      </c>
      <c r="B565" s="36" t="s">
        <v>1341</v>
      </c>
      <c r="C565" s="25">
        <v>2.0</v>
      </c>
      <c r="D565" s="36" t="s">
        <v>169</v>
      </c>
    </row>
    <row r="566">
      <c r="A566" s="36" t="s">
        <v>1342</v>
      </c>
      <c r="B566" s="36" t="s">
        <v>1343</v>
      </c>
      <c r="C566" s="25">
        <v>1.0</v>
      </c>
      <c r="D566" s="36" t="s">
        <v>82</v>
      </c>
    </row>
    <row r="567">
      <c r="A567" s="36" t="s">
        <v>1344</v>
      </c>
      <c r="B567" s="36" t="s">
        <v>1346</v>
      </c>
      <c r="C567" s="25">
        <v>1.0</v>
      </c>
      <c r="D567" s="36" t="s">
        <v>82</v>
      </c>
    </row>
    <row r="568">
      <c r="A568" s="36" t="s">
        <v>1347</v>
      </c>
      <c r="B568" s="36" t="s">
        <v>1348</v>
      </c>
      <c r="C568" s="25">
        <v>1.0</v>
      </c>
      <c r="D568" s="36" t="s">
        <v>203</v>
      </c>
    </row>
    <row r="569">
      <c r="A569" s="36" t="s">
        <v>1349</v>
      </c>
      <c r="B569" s="36" t="s">
        <v>1350</v>
      </c>
      <c r="C569" s="25">
        <v>1.0</v>
      </c>
      <c r="D569" s="36" t="s">
        <v>223</v>
      </c>
    </row>
    <row r="570">
      <c r="A570" s="36" t="s">
        <v>1351</v>
      </c>
      <c r="B570" s="36" t="s">
        <v>1352</v>
      </c>
      <c r="C570" s="25">
        <v>1.0</v>
      </c>
      <c r="D570" s="36" t="s">
        <v>1353</v>
      </c>
    </row>
    <row r="571">
      <c r="A571" s="36" t="s">
        <v>1354</v>
      </c>
      <c r="B571" s="36" t="s">
        <v>1355</v>
      </c>
      <c r="C571" s="25">
        <v>2.0</v>
      </c>
      <c r="D571" s="36" t="s">
        <v>169</v>
      </c>
    </row>
    <row r="572">
      <c r="A572" s="36" t="s">
        <v>1356</v>
      </c>
      <c r="B572" s="36" t="s">
        <v>1357</v>
      </c>
      <c r="C572" s="25">
        <v>1.0</v>
      </c>
      <c r="D572" s="36" t="s">
        <v>82</v>
      </c>
    </row>
    <row r="573">
      <c r="A573" s="36" t="s">
        <v>1358</v>
      </c>
      <c r="B573" s="36" t="s">
        <v>1359</v>
      </c>
      <c r="C573" s="25">
        <v>1.0</v>
      </c>
      <c r="D573" s="36" t="s">
        <v>223</v>
      </c>
    </row>
    <row r="574">
      <c r="A574" s="36" t="s">
        <v>1361</v>
      </c>
      <c r="B574" s="36" t="s">
        <v>1362</v>
      </c>
      <c r="C574" s="25">
        <v>2.0</v>
      </c>
      <c r="D574" s="36" t="s">
        <v>169</v>
      </c>
    </row>
    <row r="575">
      <c r="A575" s="36" t="s">
        <v>1363</v>
      </c>
      <c r="B575" s="36" t="s">
        <v>1364</v>
      </c>
      <c r="C575" s="25">
        <v>1.0</v>
      </c>
      <c r="D575" s="36" t="s">
        <v>82</v>
      </c>
    </row>
    <row r="576">
      <c r="A576" s="36" t="s">
        <v>1365</v>
      </c>
      <c r="B576" s="36" t="s">
        <v>1366</v>
      </c>
      <c r="C576" s="25">
        <v>1.0</v>
      </c>
      <c r="D576" s="36" t="s">
        <v>1367</v>
      </c>
    </row>
    <row r="577">
      <c r="A577" s="36" t="s">
        <v>1368</v>
      </c>
      <c r="B577" s="36" t="s">
        <v>1369</v>
      </c>
      <c r="C577" s="25">
        <v>2.0</v>
      </c>
      <c r="D577" s="36" t="s">
        <v>169</v>
      </c>
    </row>
    <row r="578">
      <c r="A578" s="36" t="s">
        <v>1370</v>
      </c>
      <c r="B578" s="36" t="s">
        <v>1371</v>
      </c>
      <c r="C578" s="25">
        <v>1.0</v>
      </c>
      <c r="D578" s="36" t="s">
        <v>82</v>
      </c>
    </row>
    <row r="579">
      <c r="A579" s="36" t="s">
        <v>276</v>
      </c>
      <c r="B579" s="36" t="s">
        <v>1372</v>
      </c>
      <c r="C579" s="25">
        <v>1.0</v>
      </c>
      <c r="D579" s="36" t="s">
        <v>82</v>
      </c>
    </row>
    <row r="580">
      <c r="A580" s="36" t="s">
        <v>1374</v>
      </c>
      <c r="B580" s="36" t="s">
        <v>1375</v>
      </c>
      <c r="C580" s="25">
        <v>1.0</v>
      </c>
      <c r="D580" s="36" t="s">
        <v>1376</v>
      </c>
    </row>
    <row r="581">
      <c r="A581" s="36" t="s">
        <v>1377</v>
      </c>
      <c r="B581" s="36" t="s">
        <v>1378</v>
      </c>
      <c r="C581" s="25">
        <v>1.0</v>
      </c>
      <c r="D581" s="36" t="s">
        <v>82</v>
      </c>
    </row>
    <row r="582">
      <c r="A582" s="36" t="s">
        <v>1379</v>
      </c>
      <c r="B582" s="36" t="s">
        <v>1380</v>
      </c>
      <c r="C582" s="25">
        <v>1.0</v>
      </c>
      <c r="D582" s="36" t="s">
        <v>82</v>
      </c>
    </row>
    <row r="583">
      <c r="A583" s="36" t="s">
        <v>1381</v>
      </c>
      <c r="B583" s="36" t="s">
        <v>1382</v>
      </c>
      <c r="C583" s="25">
        <v>1.0</v>
      </c>
      <c r="D583" s="36" t="s">
        <v>82</v>
      </c>
    </row>
    <row r="584">
      <c r="A584" s="36" t="s">
        <v>1383</v>
      </c>
      <c r="B584" s="36" t="s">
        <v>1384</v>
      </c>
      <c r="C584" s="25">
        <v>2.0</v>
      </c>
      <c r="D584" s="36" t="s">
        <v>169</v>
      </c>
    </row>
    <row r="585">
      <c r="A585" s="36" t="s">
        <v>1385</v>
      </c>
      <c r="B585" s="36" t="s">
        <v>1386</v>
      </c>
      <c r="C585" s="25">
        <v>1.0</v>
      </c>
      <c r="D585" s="36" t="s">
        <v>1367</v>
      </c>
    </row>
    <row r="586">
      <c r="A586" s="36" t="s">
        <v>1388</v>
      </c>
      <c r="B586" s="36" t="s">
        <v>1389</v>
      </c>
      <c r="C586" s="25">
        <v>1.0</v>
      </c>
      <c r="D586" s="36" t="s">
        <v>702</v>
      </c>
    </row>
    <row r="587">
      <c r="A587" s="36" t="s">
        <v>1390</v>
      </c>
      <c r="B587" s="36" t="s">
        <v>1391</v>
      </c>
      <c r="C587" s="25">
        <v>1.0</v>
      </c>
      <c r="D587" s="36" t="s">
        <v>1392</v>
      </c>
    </row>
    <row r="588">
      <c r="A588" s="36" t="s">
        <v>1393</v>
      </c>
      <c r="B588" s="36" t="s">
        <v>1394</v>
      </c>
      <c r="C588" s="25">
        <v>1.0</v>
      </c>
      <c r="D588" s="36" t="s">
        <v>361</v>
      </c>
    </row>
    <row r="589">
      <c r="A589" s="36" t="s">
        <v>1395</v>
      </c>
      <c r="B589" s="36" t="s">
        <v>1396</v>
      </c>
      <c r="C589" s="25">
        <v>1.0</v>
      </c>
      <c r="D589" s="36" t="s">
        <v>223</v>
      </c>
    </row>
    <row r="590">
      <c r="A590" s="36" t="s">
        <v>1397</v>
      </c>
      <c r="B590" s="36" t="s">
        <v>1398</v>
      </c>
      <c r="C590" s="25">
        <v>1.0</v>
      </c>
      <c r="D590" s="36" t="s">
        <v>82</v>
      </c>
    </row>
    <row r="591">
      <c r="A591" s="36" t="s">
        <v>1399</v>
      </c>
      <c r="B591" s="36" t="s">
        <v>1400</v>
      </c>
      <c r="C591" s="25">
        <v>1.0</v>
      </c>
      <c r="D591" s="36" t="s">
        <v>82</v>
      </c>
    </row>
    <row r="592">
      <c r="A592" s="36" t="s">
        <v>1403</v>
      </c>
      <c r="B592" s="36" t="s">
        <v>1404</v>
      </c>
      <c r="C592" s="25">
        <v>1.0</v>
      </c>
      <c r="D592" s="36" t="s">
        <v>702</v>
      </c>
    </row>
    <row r="593">
      <c r="A593" s="36" t="s">
        <v>1405</v>
      </c>
      <c r="B593" s="36" t="s">
        <v>1406</v>
      </c>
      <c r="C593" s="25">
        <v>1.0</v>
      </c>
      <c r="D593" s="36" t="s">
        <v>369</v>
      </c>
    </row>
    <row r="594">
      <c r="A594" s="36" t="s">
        <v>1407</v>
      </c>
      <c r="B594" s="36" t="s">
        <v>1408</v>
      </c>
      <c r="C594" s="25">
        <v>1.0</v>
      </c>
      <c r="D594" s="36" t="s">
        <v>1409</v>
      </c>
    </row>
    <row r="595">
      <c r="A595" s="36" t="s">
        <v>1410</v>
      </c>
      <c r="B595" s="36" t="s">
        <v>1411</v>
      </c>
      <c r="C595" s="25">
        <v>1.0</v>
      </c>
      <c r="D595" s="36" t="s">
        <v>150</v>
      </c>
    </row>
    <row r="596">
      <c r="A596" s="36" t="s">
        <v>1412</v>
      </c>
      <c r="B596" s="36" t="s">
        <v>1413</v>
      </c>
      <c r="C596" s="25">
        <v>2.0</v>
      </c>
      <c r="D596" s="36" t="s">
        <v>169</v>
      </c>
    </row>
    <row r="597">
      <c r="A597" s="36" t="s">
        <v>1414</v>
      </c>
      <c r="B597" s="36" t="s">
        <v>1415</v>
      </c>
      <c r="C597" s="25">
        <v>1.0</v>
      </c>
      <c r="D597" s="36" t="s">
        <v>82</v>
      </c>
    </row>
    <row r="598">
      <c r="A598" s="36" t="s">
        <v>1417</v>
      </c>
      <c r="B598" s="36" t="s">
        <v>1418</v>
      </c>
      <c r="C598" s="25">
        <v>2.0</v>
      </c>
      <c r="D598" s="36" t="s">
        <v>534</v>
      </c>
    </row>
    <row r="599">
      <c r="A599" s="36" t="s">
        <v>1419</v>
      </c>
      <c r="B599" s="36" t="s">
        <v>1421</v>
      </c>
      <c r="C599" s="25">
        <v>1.0</v>
      </c>
      <c r="D599" s="36" t="s">
        <v>150</v>
      </c>
    </row>
    <row r="600">
      <c r="A600" s="36" t="s">
        <v>1422</v>
      </c>
      <c r="B600" s="36" t="s">
        <v>1423</v>
      </c>
      <c r="C600" s="25">
        <v>1.0</v>
      </c>
      <c r="D600" s="36" t="s">
        <v>137</v>
      </c>
    </row>
    <row r="601">
      <c r="A601" s="36" t="s">
        <v>1424</v>
      </c>
      <c r="B601" s="36" t="s">
        <v>1425</v>
      </c>
      <c r="C601" s="25">
        <v>1.0</v>
      </c>
      <c r="D601" s="36" t="s">
        <v>1426</v>
      </c>
    </row>
    <row r="602">
      <c r="A602" s="36" t="s">
        <v>1427</v>
      </c>
      <c r="B602" s="36" t="s">
        <v>1428</v>
      </c>
      <c r="C602" s="25">
        <v>1.0</v>
      </c>
      <c r="D602" s="36" t="s">
        <v>82</v>
      </c>
    </row>
    <row r="603">
      <c r="A603" s="36" t="s">
        <v>1429</v>
      </c>
      <c r="B603" s="36" t="s">
        <v>1430</v>
      </c>
      <c r="C603" s="25">
        <v>2.0</v>
      </c>
      <c r="D603" s="36" t="s">
        <v>169</v>
      </c>
    </row>
    <row r="604">
      <c r="A604" s="36" t="s">
        <v>1431</v>
      </c>
      <c r="B604" s="36" t="s">
        <v>1432</v>
      </c>
      <c r="C604" s="25">
        <v>3.0</v>
      </c>
      <c r="D604" s="36" t="s">
        <v>1433</v>
      </c>
    </row>
    <row r="605">
      <c r="A605" s="36" t="s">
        <v>1434</v>
      </c>
      <c r="B605" s="36" t="s">
        <v>1435</v>
      </c>
      <c r="C605" s="25">
        <v>1.0</v>
      </c>
      <c r="D605" s="36" t="s">
        <v>223</v>
      </c>
    </row>
    <row r="606">
      <c r="A606" s="36" t="s">
        <v>1436</v>
      </c>
      <c r="B606" s="36" t="s">
        <v>1437</v>
      </c>
      <c r="C606" s="25">
        <v>1.0</v>
      </c>
      <c r="D606" s="36" t="s">
        <v>1439</v>
      </c>
    </row>
    <row r="607">
      <c r="A607" s="36" t="s">
        <v>1441</v>
      </c>
      <c r="B607" s="36" t="s">
        <v>1442</v>
      </c>
      <c r="C607" s="25">
        <v>1.0</v>
      </c>
      <c r="D607" s="36" t="s">
        <v>82</v>
      </c>
    </row>
    <row r="608">
      <c r="A608" s="36" t="s">
        <v>1443</v>
      </c>
      <c r="B608" s="36" t="s">
        <v>1444</v>
      </c>
      <c r="C608" s="25">
        <v>1.0</v>
      </c>
      <c r="D608" s="36" t="s">
        <v>82</v>
      </c>
    </row>
    <row r="609">
      <c r="A609" s="36" t="s">
        <v>62</v>
      </c>
      <c r="B609" s="36" t="s">
        <v>1445</v>
      </c>
      <c r="C609" s="25">
        <v>1.0</v>
      </c>
      <c r="D609" s="36" t="s">
        <v>82</v>
      </c>
    </row>
    <row r="610">
      <c r="A610" s="36" t="s">
        <v>1446</v>
      </c>
      <c r="B610" s="36" t="s">
        <v>1448</v>
      </c>
      <c r="C610" s="25">
        <v>1.0</v>
      </c>
      <c r="D610" s="36" t="s">
        <v>82</v>
      </c>
    </row>
    <row r="611">
      <c r="A611" s="36" t="s">
        <v>1449</v>
      </c>
      <c r="B611" s="36" t="s">
        <v>1450</v>
      </c>
      <c r="C611" s="25">
        <v>1.0</v>
      </c>
      <c r="D611" s="36" t="s">
        <v>1451</v>
      </c>
    </row>
    <row r="612">
      <c r="A612" s="36" t="s">
        <v>1452</v>
      </c>
      <c r="B612" s="36" t="s">
        <v>1453</v>
      </c>
      <c r="C612" s="25">
        <v>1.0</v>
      </c>
      <c r="D612" s="36" t="s">
        <v>82</v>
      </c>
    </row>
    <row r="613">
      <c r="A613" s="36" t="s">
        <v>1454</v>
      </c>
      <c r="B613" s="36" t="s">
        <v>1455</v>
      </c>
      <c r="C613" s="25">
        <v>1.0</v>
      </c>
      <c r="D613" s="36" t="s">
        <v>82</v>
      </c>
    </row>
    <row r="614">
      <c r="A614" s="36" t="s">
        <v>1456</v>
      </c>
      <c r="B614" s="36" t="s">
        <v>1457</v>
      </c>
      <c r="C614" s="25">
        <v>3.0</v>
      </c>
      <c r="D614" s="36" t="s">
        <v>172</v>
      </c>
    </row>
    <row r="615">
      <c r="A615" s="36" t="s">
        <v>1458</v>
      </c>
      <c r="B615" s="36" t="s">
        <v>1459</v>
      </c>
      <c r="C615" s="25">
        <v>2.0</v>
      </c>
      <c r="D615" s="36" t="s">
        <v>169</v>
      </c>
    </row>
    <row r="616">
      <c r="A616" s="36" t="s">
        <v>1040</v>
      </c>
      <c r="B616" s="36" t="s">
        <v>1462</v>
      </c>
      <c r="C616" s="25">
        <v>1.0</v>
      </c>
      <c r="D616" s="36" t="s">
        <v>82</v>
      </c>
    </row>
    <row r="617">
      <c r="A617" s="36" t="s">
        <v>1463</v>
      </c>
      <c r="B617" s="36" t="s">
        <v>1464</v>
      </c>
      <c r="C617" s="25">
        <v>1.0</v>
      </c>
      <c r="D617" s="36" t="s">
        <v>82</v>
      </c>
    </row>
    <row r="618">
      <c r="A618" s="36" t="s">
        <v>1440</v>
      </c>
      <c r="B618" s="36" t="s">
        <v>1465</v>
      </c>
      <c r="C618" s="25">
        <v>1.0</v>
      </c>
      <c r="D618" s="36" t="s">
        <v>82</v>
      </c>
    </row>
    <row r="619">
      <c r="A619" s="36" t="s">
        <v>1466</v>
      </c>
      <c r="B619" s="36" t="s">
        <v>1467</v>
      </c>
      <c r="C619" s="25">
        <v>1.0</v>
      </c>
      <c r="D619" s="36" t="s">
        <v>82</v>
      </c>
    </row>
    <row r="620">
      <c r="A620" s="36" t="s">
        <v>417</v>
      </c>
      <c r="B620" s="36" t="s">
        <v>1468</v>
      </c>
      <c r="C620" s="25">
        <v>2.0</v>
      </c>
      <c r="D620" s="36" t="s">
        <v>223</v>
      </c>
    </row>
    <row r="621">
      <c r="A621" s="36" t="s">
        <v>1016</v>
      </c>
      <c r="B621" s="36" t="s">
        <v>1469</v>
      </c>
      <c r="C621" s="25">
        <v>1.0</v>
      </c>
      <c r="D621" s="36" t="s">
        <v>82</v>
      </c>
    </row>
    <row r="622">
      <c r="A622" s="36" t="s">
        <v>55</v>
      </c>
      <c r="B622" s="36" t="s">
        <v>1471</v>
      </c>
      <c r="C622" s="25">
        <v>1.0</v>
      </c>
      <c r="D622" s="36" t="s">
        <v>223</v>
      </c>
    </row>
    <row r="623">
      <c r="A623" s="36" t="s">
        <v>1473</v>
      </c>
      <c r="B623" s="36" t="s">
        <v>1474</v>
      </c>
      <c r="C623" s="25">
        <v>1.0</v>
      </c>
      <c r="D623" s="36" t="s">
        <v>82</v>
      </c>
    </row>
    <row r="624">
      <c r="A624" s="36" t="s">
        <v>1475</v>
      </c>
      <c r="B624" s="36" t="s">
        <v>1476</v>
      </c>
      <c r="C624" s="25">
        <v>1.0</v>
      </c>
      <c r="D624" s="36" t="s">
        <v>818</v>
      </c>
    </row>
    <row r="625">
      <c r="A625" s="36" t="s">
        <v>1477</v>
      </c>
      <c r="B625" s="36" t="s">
        <v>1478</v>
      </c>
      <c r="C625" s="25">
        <v>1.0</v>
      </c>
      <c r="D625" s="36" t="s">
        <v>82</v>
      </c>
    </row>
    <row r="626">
      <c r="A626" s="36" t="s">
        <v>1479</v>
      </c>
      <c r="B626" s="36" t="s">
        <v>1480</v>
      </c>
      <c r="C626" s="25">
        <v>1.0</v>
      </c>
      <c r="D626" s="36" t="s">
        <v>82</v>
      </c>
    </row>
    <row r="627">
      <c r="A627" s="36" t="s">
        <v>1481</v>
      </c>
      <c r="B627" s="36" t="s">
        <v>1482</v>
      </c>
      <c r="C627" s="25">
        <v>2.0</v>
      </c>
      <c r="D627" s="36" t="s">
        <v>169</v>
      </c>
    </row>
    <row r="628">
      <c r="A628" s="36" t="s">
        <v>1485</v>
      </c>
      <c r="B628" s="36" t="s">
        <v>1486</v>
      </c>
      <c r="C628" s="25">
        <v>1.0</v>
      </c>
      <c r="D628" s="36" t="s">
        <v>1487</v>
      </c>
    </row>
    <row r="629">
      <c r="A629" s="36" t="s">
        <v>1488</v>
      </c>
      <c r="B629" s="36" t="s">
        <v>1489</v>
      </c>
      <c r="C629" s="25">
        <v>2.0</v>
      </c>
      <c r="D629" s="36" t="s">
        <v>223</v>
      </c>
    </row>
    <row r="630">
      <c r="A630" s="36" t="s">
        <v>1490</v>
      </c>
      <c r="B630" s="36" t="s">
        <v>1491</v>
      </c>
      <c r="C630" s="25">
        <v>1.0</v>
      </c>
      <c r="D630" s="36" t="s">
        <v>223</v>
      </c>
    </row>
    <row r="631">
      <c r="A631" s="36" t="s">
        <v>1492</v>
      </c>
      <c r="B631" s="36" t="s">
        <v>1493</v>
      </c>
      <c r="C631" s="25">
        <v>1.0</v>
      </c>
      <c r="D631" s="36" t="s">
        <v>1487</v>
      </c>
    </row>
    <row r="632">
      <c r="A632" s="36" t="s">
        <v>1494</v>
      </c>
      <c r="B632" s="36" t="s">
        <v>1495</v>
      </c>
      <c r="C632" s="25">
        <v>1.0</v>
      </c>
      <c r="D632" s="36" t="s">
        <v>82</v>
      </c>
    </row>
    <row r="633">
      <c r="A633" s="36" t="s">
        <v>1496</v>
      </c>
      <c r="B633" s="36" t="s">
        <v>1497</v>
      </c>
      <c r="C633" s="25">
        <v>1.0</v>
      </c>
      <c r="D633" s="36" t="s">
        <v>82</v>
      </c>
    </row>
    <row r="634">
      <c r="A634" s="36" t="s">
        <v>1499</v>
      </c>
      <c r="B634" s="36" t="s">
        <v>1500</v>
      </c>
      <c r="C634" s="25">
        <v>2.0</v>
      </c>
      <c r="D634" s="36" t="s">
        <v>376</v>
      </c>
    </row>
    <row r="635">
      <c r="A635" s="36" t="s">
        <v>1501</v>
      </c>
      <c r="B635" s="36" t="s">
        <v>1502</v>
      </c>
      <c r="C635" s="25">
        <v>1.0</v>
      </c>
      <c r="D635" s="36" t="s">
        <v>82</v>
      </c>
    </row>
    <row r="636">
      <c r="A636" s="36" t="s">
        <v>1503</v>
      </c>
      <c r="B636" s="36" t="s">
        <v>1504</v>
      </c>
      <c r="C636" s="25">
        <v>1.0</v>
      </c>
      <c r="D636" s="36" t="s">
        <v>82</v>
      </c>
    </row>
    <row r="637">
      <c r="A637" s="36" t="s">
        <v>1505</v>
      </c>
      <c r="B637" s="36" t="s">
        <v>1506</v>
      </c>
      <c r="C637" s="25">
        <v>1.0</v>
      </c>
      <c r="D637" s="36" t="s">
        <v>82</v>
      </c>
    </row>
    <row r="638">
      <c r="A638" s="36" t="s">
        <v>1507</v>
      </c>
      <c r="B638" s="36" t="s">
        <v>1508</v>
      </c>
      <c r="C638" s="25">
        <v>1.0</v>
      </c>
      <c r="D638" s="36" t="s">
        <v>223</v>
      </c>
    </row>
    <row r="639">
      <c r="A639" s="36" t="s">
        <v>1511</v>
      </c>
      <c r="B639" s="36" t="s">
        <v>1512</v>
      </c>
      <c r="C639" s="25">
        <v>1.0</v>
      </c>
      <c r="D639" s="36" t="s">
        <v>82</v>
      </c>
    </row>
    <row r="640">
      <c r="A640" s="36" t="s">
        <v>1513</v>
      </c>
      <c r="B640" s="36" t="s">
        <v>1514</v>
      </c>
      <c r="C640" s="25">
        <v>2.0</v>
      </c>
      <c r="D640" s="36" t="s">
        <v>1515</v>
      </c>
    </row>
    <row r="641">
      <c r="A641" s="36" t="s">
        <v>983</v>
      </c>
      <c r="B641" s="36" t="s">
        <v>1516</v>
      </c>
      <c r="C641" s="25">
        <v>1.0</v>
      </c>
      <c r="D641" s="36" t="s">
        <v>82</v>
      </c>
    </row>
    <row r="642">
      <c r="A642" s="36" t="s">
        <v>1517</v>
      </c>
      <c r="B642" s="36" t="s">
        <v>1519</v>
      </c>
      <c r="C642" s="25">
        <v>1.0</v>
      </c>
      <c r="D642" s="36" t="s">
        <v>223</v>
      </c>
    </row>
    <row r="643">
      <c r="A643" s="36" t="s">
        <v>1520</v>
      </c>
      <c r="B643" s="36" t="s">
        <v>1521</v>
      </c>
      <c r="C643" s="25">
        <v>1.0</v>
      </c>
      <c r="D643" s="36" t="s">
        <v>223</v>
      </c>
    </row>
    <row r="644">
      <c r="A644" s="36" t="s">
        <v>1522</v>
      </c>
      <c r="B644" s="36" t="s">
        <v>1523</v>
      </c>
      <c r="C644" s="25">
        <v>1.0</v>
      </c>
      <c r="D644" s="36" t="s">
        <v>223</v>
      </c>
    </row>
    <row r="645">
      <c r="A645" s="36" t="s">
        <v>1524</v>
      </c>
      <c r="B645" s="36" t="s">
        <v>1525</v>
      </c>
      <c r="C645" s="25">
        <v>1.0</v>
      </c>
      <c r="D645" s="36" t="s">
        <v>223</v>
      </c>
    </row>
    <row r="646">
      <c r="A646" s="36" t="s">
        <v>1526</v>
      </c>
      <c r="B646" s="36" t="s">
        <v>1527</v>
      </c>
      <c r="C646" s="25">
        <v>1.0</v>
      </c>
      <c r="D646" s="36" t="s">
        <v>82</v>
      </c>
    </row>
    <row r="647">
      <c r="A647" s="36" t="s">
        <v>1528</v>
      </c>
      <c r="B647" s="36" t="s">
        <v>1529</v>
      </c>
      <c r="C647" s="25">
        <v>1.0</v>
      </c>
      <c r="D647" s="36" t="s">
        <v>1487</v>
      </c>
    </row>
    <row r="648">
      <c r="A648" s="36" t="s">
        <v>1531</v>
      </c>
      <c r="B648" s="36" t="s">
        <v>1532</v>
      </c>
      <c r="C648" s="25">
        <v>2.0</v>
      </c>
      <c r="D648" s="36" t="s">
        <v>169</v>
      </c>
    </row>
    <row r="649">
      <c r="A649" s="36" t="s">
        <v>1533</v>
      </c>
      <c r="B649" s="36" t="s">
        <v>1534</v>
      </c>
      <c r="C649" s="25">
        <v>1.0</v>
      </c>
      <c r="D649" s="36" t="s">
        <v>82</v>
      </c>
    </row>
    <row r="650">
      <c r="A650" s="36" t="s">
        <v>1535</v>
      </c>
      <c r="B650" s="36" t="s">
        <v>1536</v>
      </c>
      <c r="C650" s="25">
        <v>1.0</v>
      </c>
      <c r="D650" s="36" t="s">
        <v>1537</v>
      </c>
    </row>
    <row r="651">
      <c r="A651" s="36" t="s">
        <v>1539</v>
      </c>
      <c r="B651" s="36" t="s">
        <v>1540</v>
      </c>
      <c r="C651" s="25">
        <v>1.0</v>
      </c>
      <c r="D651" s="36" t="s">
        <v>150</v>
      </c>
    </row>
    <row r="652">
      <c r="A652" s="36" t="s">
        <v>1541</v>
      </c>
      <c r="B652" s="36" t="s">
        <v>1542</v>
      </c>
      <c r="C652" s="25">
        <v>1.0</v>
      </c>
      <c r="D652" s="36" t="s">
        <v>1409</v>
      </c>
    </row>
    <row r="653">
      <c r="A653" s="36" t="s">
        <v>1544</v>
      </c>
      <c r="B653" s="36" t="s">
        <v>1545</v>
      </c>
      <c r="C653" s="25">
        <v>2.0</v>
      </c>
      <c r="D653" s="36" t="s">
        <v>169</v>
      </c>
    </row>
    <row r="654">
      <c r="A654" s="36" t="s">
        <v>1461</v>
      </c>
      <c r="B654" s="36" t="s">
        <v>1546</v>
      </c>
      <c r="C654" s="25">
        <v>1.0</v>
      </c>
      <c r="D654" s="36" t="s">
        <v>82</v>
      </c>
    </row>
    <row r="655">
      <c r="A655" s="36" t="s">
        <v>1472</v>
      </c>
      <c r="B655" s="36" t="s">
        <v>1547</v>
      </c>
      <c r="C655" s="25">
        <v>1.0</v>
      </c>
      <c r="D655" s="36" t="s">
        <v>82</v>
      </c>
    </row>
    <row r="656">
      <c r="A656" s="36" t="s">
        <v>1315</v>
      </c>
      <c r="B656" s="36" t="s">
        <v>1548</v>
      </c>
      <c r="C656" s="25">
        <v>1.0</v>
      </c>
      <c r="D656" s="36" t="s">
        <v>82</v>
      </c>
    </row>
    <row r="657">
      <c r="A657" s="36" t="s">
        <v>1549</v>
      </c>
      <c r="B657" s="36" t="s">
        <v>1550</v>
      </c>
      <c r="C657" s="25">
        <v>1.0</v>
      </c>
      <c r="D657" s="36" t="s">
        <v>82</v>
      </c>
    </row>
    <row r="658">
      <c r="A658" s="36" t="s">
        <v>1551</v>
      </c>
      <c r="B658" s="36" t="s">
        <v>1552</v>
      </c>
      <c r="C658" s="25">
        <v>1.0</v>
      </c>
      <c r="D658" s="36" t="s">
        <v>82</v>
      </c>
    </row>
    <row r="659">
      <c r="A659" s="36" t="s">
        <v>1553</v>
      </c>
      <c r="B659" s="36" t="s">
        <v>1554</v>
      </c>
      <c r="C659" s="25">
        <v>2.0</v>
      </c>
      <c r="D659" s="36" t="s">
        <v>169</v>
      </c>
    </row>
    <row r="660">
      <c r="A660" s="36" t="s">
        <v>1555</v>
      </c>
      <c r="B660" s="36" t="s">
        <v>1556</v>
      </c>
      <c r="C660" s="25">
        <v>1.0</v>
      </c>
      <c r="D660" s="36" t="s">
        <v>150</v>
      </c>
    </row>
    <row r="661">
      <c r="A661" s="36" t="s">
        <v>1557</v>
      </c>
      <c r="B661" s="36" t="s">
        <v>1558</v>
      </c>
      <c r="C661" s="25">
        <v>2.0</v>
      </c>
      <c r="D661" s="36" t="s">
        <v>1559</v>
      </c>
    </row>
    <row r="662">
      <c r="A662" s="36" t="s">
        <v>1560</v>
      </c>
      <c r="B662" s="36" t="s">
        <v>1561</v>
      </c>
      <c r="C662" s="25">
        <v>2.0</v>
      </c>
      <c r="D662" s="36" t="s">
        <v>534</v>
      </c>
    </row>
    <row r="663">
      <c r="A663" s="36" t="s">
        <v>1331</v>
      </c>
      <c r="B663" s="36" t="s">
        <v>1562</v>
      </c>
      <c r="C663" s="25">
        <v>1.0</v>
      </c>
      <c r="D663" s="36" t="s">
        <v>82</v>
      </c>
    </row>
    <row r="664">
      <c r="A664" s="36" t="s">
        <v>1563</v>
      </c>
      <c r="B664" s="36" t="s">
        <v>1565</v>
      </c>
      <c r="C664" s="25">
        <v>1.0</v>
      </c>
      <c r="D664" s="36" t="s">
        <v>82</v>
      </c>
    </row>
    <row r="665">
      <c r="A665" s="36" t="s">
        <v>1566</v>
      </c>
      <c r="B665" s="36" t="s">
        <v>1567</v>
      </c>
      <c r="C665" s="25">
        <v>1.0</v>
      </c>
      <c r="D665" s="36" t="s">
        <v>150</v>
      </c>
    </row>
    <row r="666">
      <c r="A666" s="36" t="s">
        <v>1568</v>
      </c>
      <c r="B666" s="36" t="s">
        <v>1569</v>
      </c>
      <c r="C666" s="25">
        <v>1.0</v>
      </c>
      <c r="D666" s="36" t="s">
        <v>1570</v>
      </c>
    </row>
    <row r="667">
      <c r="A667" s="36" t="s">
        <v>1571</v>
      </c>
      <c r="B667" s="36" t="s">
        <v>1572</v>
      </c>
      <c r="C667" s="25">
        <v>1.0</v>
      </c>
      <c r="D667" s="36" t="s">
        <v>150</v>
      </c>
    </row>
    <row r="668">
      <c r="A668" s="36" t="s">
        <v>1573</v>
      </c>
      <c r="B668" s="36" t="s">
        <v>1574</v>
      </c>
      <c r="C668" s="25">
        <v>1.0</v>
      </c>
      <c r="D668" s="36" t="s">
        <v>82</v>
      </c>
    </row>
    <row r="669">
      <c r="A669" s="36" t="s">
        <v>1575</v>
      </c>
      <c r="B669" s="36" t="s">
        <v>1576</v>
      </c>
      <c r="C669" s="25">
        <v>1.0</v>
      </c>
      <c r="D669" s="36" t="s">
        <v>150</v>
      </c>
    </row>
    <row r="670">
      <c r="A670" s="36" t="s">
        <v>1577</v>
      </c>
      <c r="B670" s="36" t="s">
        <v>1578</v>
      </c>
      <c r="C670" s="25">
        <v>2.0</v>
      </c>
      <c r="D670" s="36" t="s">
        <v>169</v>
      </c>
    </row>
    <row r="671">
      <c r="A671" s="36" t="s">
        <v>1579</v>
      </c>
      <c r="B671" s="36" t="s">
        <v>1580</v>
      </c>
      <c r="C671" s="25">
        <v>2.0</v>
      </c>
      <c r="D671" s="36" t="s">
        <v>169</v>
      </c>
    </row>
    <row r="672">
      <c r="A672" s="36" t="s">
        <v>1581</v>
      </c>
      <c r="B672" s="36" t="s">
        <v>1582</v>
      </c>
      <c r="C672" s="25">
        <v>1.0</v>
      </c>
      <c r="D672" s="36" t="s">
        <v>1583</v>
      </c>
    </row>
    <row r="673">
      <c r="A673" s="36" t="s">
        <v>1584</v>
      </c>
      <c r="B673" s="36" t="s">
        <v>1585</v>
      </c>
      <c r="C673" s="25">
        <v>1.0</v>
      </c>
      <c r="D673" s="36" t="s">
        <v>223</v>
      </c>
    </row>
    <row r="674">
      <c r="A674" s="36" t="s">
        <v>1226</v>
      </c>
      <c r="B674" s="36" t="s">
        <v>1587</v>
      </c>
      <c r="C674" s="25">
        <v>1.0</v>
      </c>
      <c r="D674" s="36" t="s">
        <v>82</v>
      </c>
    </row>
    <row r="675">
      <c r="A675" s="36" t="s">
        <v>1046</v>
      </c>
      <c r="B675" s="36" t="s">
        <v>1588</v>
      </c>
      <c r="C675" s="25">
        <v>1.0</v>
      </c>
      <c r="D675" s="36" t="s">
        <v>82</v>
      </c>
    </row>
    <row r="676">
      <c r="A676" s="36" t="s">
        <v>1589</v>
      </c>
      <c r="B676" s="36" t="s">
        <v>1590</v>
      </c>
      <c r="C676" s="25">
        <v>1.0</v>
      </c>
      <c r="D676" s="36" t="s">
        <v>82</v>
      </c>
    </row>
    <row r="677">
      <c r="A677" s="36" t="s">
        <v>1591</v>
      </c>
      <c r="B677" s="36" t="s">
        <v>1592</v>
      </c>
      <c r="C677" s="25">
        <v>1.0</v>
      </c>
      <c r="D677" s="36" t="s">
        <v>82</v>
      </c>
    </row>
    <row r="678">
      <c r="A678" s="36" t="s">
        <v>1136</v>
      </c>
      <c r="B678" s="36" t="s">
        <v>1593</v>
      </c>
      <c r="C678" s="25">
        <v>2.0</v>
      </c>
      <c r="D678" s="36" t="s">
        <v>169</v>
      </c>
    </row>
    <row r="679">
      <c r="A679" s="36" t="s">
        <v>1594</v>
      </c>
      <c r="B679" s="36" t="s">
        <v>1595</v>
      </c>
      <c r="C679" s="25">
        <v>1.0</v>
      </c>
      <c r="D679" s="36" t="s">
        <v>82</v>
      </c>
    </row>
    <row r="680">
      <c r="A680" s="36" t="s">
        <v>1596</v>
      </c>
      <c r="B680" s="36" t="s">
        <v>1597</v>
      </c>
      <c r="C680" s="25">
        <v>1.0</v>
      </c>
      <c r="D680" s="36" t="s">
        <v>223</v>
      </c>
    </row>
    <row r="681">
      <c r="A681" s="36" t="s">
        <v>1598</v>
      </c>
      <c r="B681" s="36" t="s">
        <v>1600</v>
      </c>
      <c r="C681" s="25">
        <v>2.0</v>
      </c>
      <c r="D681" s="36" t="s">
        <v>1570</v>
      </c>
    </row>
    <row r="682">
      <c r="A682" s="36" t="s">
        <v>1601</v>
      </c>
      <c r="B682" s="36" t="s">
        <v>1602</v>
      </c>
      <c r="C682" s="25">
        <v>1.0</v>
      </c>
      <c r="D682" s="36" t="s">
        <v>223</v>
      </c>
    </row>
    <row r="683">
      <c r="A683" s="36" t="s">
        <v>1603</v>
      </c>
      <c r="B683" s="36" t="s">
        <v>1604</v>
      </c>
      <c r="C683" s="25">
        <v>2.0</v>
      </c>
      <c r="D683" s="36" t="s">
        <v>169</v>
      </c>
    </row>
    <row r="684">
      <c r="A684" s="36" t="s">
        <v>1605</v>
      </c>
      <c r="B684" s="36" t="s">
        <v>1606</v>
      </c>
      <c r="C684" s="25">
        <v>1.0</v>
      </c>
      <c r="D684" s="36" t="s">
        <v>1607</v>
      </c>
    </row>
    <row r="685">
      <c r="A685" s="36" t="s">
        <v>1608</v>
      </c>
      <c r="B685" s="36" t="s">
        <v>1609</v>
      </c>
      <c r="C685" s="25">
        <v>1.0</v>
      </c>
      <c r="D685" s="36" t="s">
        <v>82</v>
      </c>
    </row>
    <row r="686">
      <c r="A686" s="36" t="s">
        <v>1610</v>
      </c>
      <c r="B686" s="36" t="s">
        <v>1611</v>
      </c>
      <c r="C686" s="25">
        <v>1.0</v>
      </c>
      <c r="D686" s="36" t="s">
        <v>1612</v>
      </c>
    </row>
    <row r="687">
      <c r="A687" s="36" t="s">
        <v>1613</v>
      </c>
      <c r="B687" s="36" t="s">
        <v>1614</v>
      </c>
      <c r="C687" s="25">
        <v>1.0</v>
      </c>
      <c r="D687" s="36" t="s">
        <v>1616</v>
      </c>
    </row>
    <row r="688">
      <c r="A688" s="36" t="s">
        <v>1617</v>
      </c>
      <c r="B688" s="36" t="s">
        <v>1618</v>
      </c>
      <c r="C688" s="25">
        <v>1.0</v>
      </c>
      <c r="D688" s="36" t="s">
        <v>82</v>
      </c>
    </row>
    <row r="689">
      <c r="A689" s="36" t="s">
        <v>1619</v>
      </c>
      <c r="B689" s="36" t="s">
        <v>1620</v>
      </c>
      <c r="C689" s="25">
        <v>1.0</v>
      </c>
      <c r="D689" s="36" t="s">
        <v>82</v>
      </c>
    </row>
    <row r="690">
      <c r="A690" s="36" t="s">
        <v>1621</v>
      </c>
      <c r="B690" s="36" t="s">
        <v>1622</v>
      </c>
      <c r="C690" s="25">
        <v>1.0</v>
      </c>
      <c r="D690" s="36" t="s">
        <v>82</v>
      </c>
    </row>
    <row r="691">
      <c r="A691" s="36" t="s">
        <v>1623</v>
      </c>
      <c r="B691" s="36" t="s">
        <v>1624</v>
      </c>
      <c r="C691" s="25">
        <v>1.0</v>
      </c>
      <c r="D691" s="36" t="s">
        <v>82</v>
      </c>
    </row>
    <row r="692">
      <c r="A692" s="36" t="s">
        <v>1625</v>
      </c>
      <c r="B692" s="36" t="s">
        <v>1626</v>
      </c>
      <c r="C692" s="25">
        <v>2.0</v>
      </c>
      <c r="D692" s="36" t="s">
        <v>169</v>
      </c>
    </row>
    <row r="693">
      <c r="A693" s="36" t="s">
        <v>1627</v>
      </c>
      <c r="B693" s="36" t="s">
        <v>1629</v>
      </c>
      <c r="C693" s="25">
        <v>2.0</v>
      </c>
      <c r="D693" s="36" t="s">
        <v>169</v>
      </c>
    </row>
    <row r="694">
      <c r="A694" s="36" t="s">
        <v>1630</v>
      </c>
      <c r="B694" s="36" t="s">
        <v>1631</v>
      </c>
      <c r="C694" s="25">
        <v>1.0</v>
      </c>
      <c r="D694" s="36" t="s">
        <v>1632</v>
      </c>
    </row>
    <row r="695">
      <c r="A695" s="36" t="s">
        <v>1633</v>
      </c>
      <c r="B695" s="36" t="s">
        <v>1634</v>
      </c>
      <c r="C695" s="25">
        <v>1.0</v>
      </c>
      <c r="D695" s="36" t="s">
        <v>702</v>
      </c>
    </row>
    <row r="696">
      <c r="A696" s="36" t="s">
        <v>1635</v>
      </c>
      <c r="B696" s="36" t="s">
        <v>1636</v>
      </c>
      <c r="C696" s="25">
        <v>2.0</v>
      </c>
      <c r="D696" s="36" t="s">
        <v>169</v>
      </c>
    </row>
    <row r="697">
      <c r="A697" s="36" t="s">
        <v>1637</v>
      </c>
      <c r="B697" s="36" t="s">
        <v>1638</v>
      </c>
      <c r="C697" s="25">
        <v>1.0</v>
      </c>
      <c r="D697" s="36" t="s">
        <v>82</v>
      </c>
    </row>
    <row r="698">
      <c r="A698" s="36" t="s">
        <v>1639</v>
      </c>
      <c r="B698" s="36" t="s">
        <v>1640</v>
      </c>
      <c r="C698" s="25">
        <v>1.0</v>
      </c>
      <c r="D698" s="36" t="s">
        <v>1487</v>
      </c>
    </row>
    <row r="699">
      <c r="A699" s="36" t="s">
        <v>1641</v>
      </c>
      <c r="B699" s="36" t="s">
        <v>1643</v>
      </c>
      <c r="C699" s="25">
        <v>1.0</v>
      </c>
      <c r="D699" s="36" t="s">
        <v>1644</v>
      </c>
    </row>
    <row r="700">
      <c r="A700" s="36" t="s">
        <v>70</v>
      </c>
      <c r="B700" s="36" t="s">
        <v>1645</v>
      </c>
      <c r="C700" s="25">
        <v>1.0</v>
      </c>
      <c r="D700" s="36" t="s">
        <v>82</v>
      </c>
    </row>
    <row r="701">
      <c r="A701" s="36" t="s">
        <v>1646</v>
      </c>
      <c r="B701" s="36" t="s">
        <v>1647</v>
      </c>
      <c r="C701" s="25">
        <v>1.0</v>
      </c>
      <c r="D701" s="36" t="s">
        <v>223</v>
      </c>
    </row>
    <row r="702">
      <c r="A702" s="36" t="s">
        <v>1648</v>
      </c>
      <c r="B702" s="36" t="s">
        <v>1649</v>
      </c>
      <c r="C702" s="25">
        <v>1.0</v>
      </c>
      <c r="D702" s="36" t="s">
        <v>82</v>
      </c>
    </row>
    <row r="703">
      <c r="A703" s="36" t="s">
        <v>1650</v>
      </c>
      <c r="B703" s="36" t="s">
        <v>1651</v>
      </c>
      <c r="C703" s="25">
        <v>1.0</v>
      </c>
      <c r="D703" s="36" t="s">
        <v>82</v>
      </c>
    </row>
    <row r="704">
      <c r="A704" s="36" t="s">
        <v>1652</v>
      </c>
      <c r="B704" s="36" t="s">
        <v>1653</v>
      </c>
      <c r="C704" s="25">
        <v>1.0</v>
      </c>
      <c r="D704" s="36" t="s">
        <v>223</v>
      </c>
    </row>
    <row r="705">
      <c r="A705" s="36" t="s">
        <v>1654</v>
      </c>
      <c r="B705" s="36" t="s">
        <v>1655</v>
      </c>
      <c r="C705" s="25">
        <v>1.0</v>
      </c>
      <c r="D705" s="36" t="s">
        <v>82</v>
      </c>
    </row>
    <row r="706">
      <c r="A706" s="36" t="s">
        <v>1657</v>
      </c>
      <c r="B706" s="36" t="s">
        <v>1658</v>
      </c>
      <c r="C706" s="25">
        <v>1.0</v>
      </c>
      <c r="D706" s="36" t="s">
        <v>82</v>
      </c>
    </row>
    <row r="707">
      <c r="A707" s="36" t="s">
        <v>1659</v>
      </c>
      <c r="B707" s="36" t="s">
        <v>1660</v>
      </c>
      <c r="C707" s="25">
        <v>1.0</v>
      </c>
      <c r="D707" s="36" t="s">
        <v>82</v>
      </c>
    </row>
    <row r="708">
      <c r="A708" s="36" t="s">
        <v>1661</v>
      </c>
      <c r="B708" s="36" t="s">
        <v>1662</v>
      </c>
      <c r="C708" s="25">
        <v>1.0</v>
      </c>
      <c r="D708" s="36" t="s">
        <v>203</v>
      </c>
    </row>
    <row r="709">
      <c r="A709" s="36" t="s">
        <v>1663</v>
      </c>
      <c r="B709" s="36" t="s">
        <v>1664</v>
      </c>
      <c r="C709" s="25">
        <v>1.0</v>
      </c>
      <c r="D709" s="36" t="s">
        <v>150</v>
      </c>
    </row>
    <row r="710">
      <c r="A710" s="36" t="s">
        <v>1665</v>
      </c>
      <c r="B710" s="36" t="s">
        <v>1666</v>
      </c>
      <c r="C710" s="25">
        <v>1.0</v>
      </c>
      <c r="D710" s="36" t="s">
        <v>82</v>
      </c>
    </row>
    <row r="711">
      <c r="A711" s="36" t="s">
        <v>1667</v>
      </c>
      <c r="B711" s="36" t="s">
        <v>1668</v>
      </c>
      <c r="C711" s="25">
        <v>1.0</v>
      </c>
      <c r="D711" s="36" t="s">
        <v>223</v>
      </c>
    </row>
    <row r="712">
      <c r="A712" s="36" t="s">
        <v>1669</v>
      </c>
      <c r="B712" s="36" t="s">
        <v>1671</v>
      </c>
      <c r="C712" s="25">
        <v>1.0</v>
      </c>
      <c r="D712" s="36" t="s">
        <v>82</v>
      </c>
    </row>
    <row r="713">
      <c r="A713" s="36" t="s">
        <v>1672</v>
      </c>
      <c r="B713" s="36" t="s">
        <v>1673</v>
      </c>
      <c r="C713" s="25">
        <v>1.0</v>
      </c>
      <c r="D713" s="36" t="s">
        <v>702</v>
      </c>
    </row>
    <row r="714">
      <c r="A714" s="36" t="s">
        <v>1674</v>
      </c>
      <c r="B714" s="36" t="s">
        <v>1675</v>
      </c>
      <c r="C714" s="25">
        <v>1.0</v>
      </c>
      <c r="D714" s="36" t="s">
        <v>223</v>
      </c>
    </row>
    <row r="715">
      <c r="A715" s="36" t="s">
        <v>1676</v>
      </c>
      <c r="B715" s="36" t="s">
        <v>1677</v>
      </c>
      <c r="C715" s="25">
        <v>1.0</v>
      </c>
      <c r="D715" s="36" t="s">
        <v>82</v>
      </c>
    </row>
    <row r="716">
      <c r="A716" s="36" t="s">
        <v>1678</v>
      </c>
      <c r="B716" s="36" t="s">
        <v>1679</v>
      </c>
      <c r="C716" s="25">
        <v>1.0</v>
      </c>
      <c r="D716" s="36" t="s">
        <v>702</v>
      </c>
    </row>
    <row r="717">
      <c r="A717" s="36" t="s">
        <v>1680</v>
      </c>
      <c r="B717" s="36" t="s">
        <v>1681</v>
      </c>
      <c r="C717" s="25">
        <v>1.0</v>
      </c>
      <c r="D717" s="36" t="s">
        <v>82</v>
      </c>
    </row>
    <row r="718">
      <c r="A718" s="36" t="s">
        <v>1682</v>
      </c>
      <c r="B718" s="36" t="s">
        <v>1684</v>
      </c>
      <c r="C718" s="25">
        <v>1.0</v>
      </c>
      <c r="D718" s="36" t="s">
        <v>702</v>
      </c>
    </row>
    <row r="719">
      <c r="A719" s="36" t="s">
        <v>1685</v>
      </c>
      <c r="B719" s="36" t="s">
        <v>1686</v>
      </c>
      <c r="C719" s="25">
        <v>2.0</v>
      </c>
      <c r="D719" s="36" t="s">
        <v>169</v>
      </c>
    </row>
    <row r="720">
      <c r="A720" s="36" t="s">
        <v>1687</v>
      </c>
      <c r="B720" s="36" t="s">
        <v>1688</v>
      </c>
      <c r="C720" s="25">
        <v>1.0</v>
      </c>
      <c r="D720" s="36" t="s">
        <v>82</v>
      </c>
    </row>
    <row r="721">
      <c r="A721" s="36" t="s">
        <v>1689</v>
      </c>
      <c r="B721" s="36" t="s">
        <v>1690</v>
      </c>
      <c r="C721" s="25">
        <v>1.0</v>
      </c>
      <c r="D721" s="36" t="s">
        <v>702</v>
      </c>
    </row>
    <row r="722">
      <c r="A722" s="36" t="s">
        <v>1691</v>
      </c>
      <c r="B722" s="36" t="s">
        <v>1692</v>
      </c>
      <c r="C722" s="25">
        <v>1.0</v>
      </c>
      <c r="D722" s="36" t="s">
        <v>369</v>
      </c>
    </row>
    <row r="723">
      <c r="A723" s="36" t="s">
        <v>1693</v>
      </c>
      <c r="B723" s="36" t="s">
        <v>1694</v>
      </c>
      <c r="C723" s="25">
        <v>1.0</v>
      </c>
      <c r="D723" s="36" t="s">
        <v>369</v>
      </c>
    </row>
    <row r="724">
      <c r="A724" s="36" t="s">
        <v>1696</v>
      </c>
      <c r="B724" s="36" t="s">
        <v>1697</v>
      </c>
      <c r="C724" s="25">
        <v>1.0</v>
      </c>
      <c r="D724" s="36" t="s">
        <v>150</v>
      </c>
    </row>
    <row r="725">
      <c r="A725" s="36" t="s">
        <v>1698</v>
      </c>
      <c r="B725" s="36" t="s">
        <v>1699</v>
      </c>
      <c r="C725" s="25">
        <v>1.0</v>
      </c>
      <c r="D725" s="36" t="s">
        <v>1700</v>
      </c>
    </row>
    <row r="726">
      <c r="A726" s="36" t="s">
        <v>1701</v>
      </c>
      <c r="B726" s="36" t="s">
        <v>1702</v>
      </c>
      <c r="C726" s="25">
        <v>2.0</v>
      </c>
      <c r="D726" s="36" t="s">
        <v>702</v>
      </c>
    </row>
    <row r="727">
      <c r="A727" s="36" t="s">
        <v>1703</v>
      </c>
      <c r="B727" s="36" t="s">
        <v>1704</v>
      </c>
      <c r="C727" s="25">
        <v>1.0</v>
      </c>
      <c r="D727" s="36" t="s">
        <v>361</v>
      </c>
    </row>
    <row r="728">
      <c r="A728" s="36" t="s">
        <v>1705</v>
      </c>
      <c r="B728" s="36" t="s">
        <v>1706</v>
      </c>
      <c r="C728" s="25">
        <v>1.0</v>
      </c>
      <c r="D728" s="36" t="s">
        <v>1707</v>
      </c>
    </row>
    <row r="729">
      <c r="A729" s="36" t="s">
        <v>1708</v>
      </c>
      <c r="B729" s="36" t="s">
        <v>1709</v>
      </c>
      <c r="C729" s="25">
        <v>1.0</v>
      </c>
      <c r="D729" s="36" t="s">
        <v>150</v>
      </c>
    </row>
    <row r="730">
      <c r="A730" s="36" t="s">
        <v>1711</v>
      </c>
      <c r="B730" s="36" t="s">
        <v>1712</v>
      </c>
      <c r="C730" s="25">
        <v>3.0</v>
      </c>
      <c r="D730" s="36" t="s">
        <v>172</v>
      </c>
    </row>
    <row r="731">
      <c r="A731" s="36" t="s">
        <v>1713</v>
      </c>
      <c r="B731" s="36" t="s">
        <v>1714</v>
      </c>
      <c r="C731" s="25">
        <v>1.0</v>
      </c>
      <c r="D731" s="36" t="s">
        <v>702</v>
      </c>
    </row>
    <row r="732">
      <c r="A732" s="36" t="s">
        <v>1715</v>
      </c>
      <c r="B732" s="36" t="s">
        <v>1716</v>
      </c>
      <c r="C732" s="25">
        <v>1.0</v>
      </c>
      <c r="D732" s="36" t="s">
        <v>1707</v>
      </c>
    </row>
    <row r="733">
      <c r="A733" s="36" t="s">
        <v>1717</v>
      </c>
      <c r="B733" s="36" t="s">
        <v>1718</v>
      </c>
      <c r="C733" s="25">
        <v>2.0</v>
      </c>
      <c r="D733" s="36" t="s">
        <v>169</v>
      </c>
    </row>
    <row r="734">
      <c r="A734" s="36" t="s">
        <v>1719</v>
      </c>
      <c r="B734" s="36" t="s">
        <v>1720</v>
      </c>
      <c r="C734" s="25">
        <v>1.0</v>
      </c>
      <c r="D734" s="36" t="s">
        <v>1707</v>
      </c>
    </row>
    <row r="735">
      <c r="A735" s="36" t="s">
        <v>1722</v>
      </c>
      <c r="B735" s="36" t="s">
        <v>1723</v>
      </c>
      <c r="C735" s="25">
        <v>1.0</v>
      </c>
      <c r="D735" s="36" t="s">
        <v>1724</v>
      </c>
    </row>
    <row r="736">
      <c r="A736" s="36" t="s">
        <v>1725</v>
      </c>
      <c r="B736" s="36" t="s">
        <v>1726</v>
      </c>
      <c r="C736" s="25">
        <v>1.0</v>
      </c>
      <c r="D736" s="36" t="s">
        <v>361</v>
      </c>
    </row>
    <row r="737">
      <c r="A737" s="36" t="s">
        <v>1727</v>
      </c>
      <c r="B737" s="36" t="s">
        <v>1728</v>
      </c>
      <c r="C737" s="25">
        <v>1.0</v>
      </c>
      <c r="D737" s="36" t="s">
        <v>203</v>
      </c>
    </row>
    <row r="738">
      <c r="A738" s="36" t="s">
        <v>1729</v>
      </c>
      <c r="B738" s="36" t="s">
        <v>1730</v>
      </c>
      <c r="C738" s="25">
        <v>1.0</v>
      </c>
      <c r="D738" s="36" t="s">
        <v>82</v>
      </c>
    </row>
    <row r="739">
      <c r="A739" s="36" t="s">
        <v>1731</v>
      </c>
      <c r="B739" s="36" t="s">
        <v>1732</v>
      </c>
      <c r="C739" s="25">
        <v>1.0</v>
      </c>
      <c r="D739" s="36" t="s">
        <v>361</v>
      </c>
    </row>
    <row r="740">
      <c r="A740" s="36" t="s">
        <v>1734</v>
      </c>
      <c r="B740" s="36" t="s">
        <v>1735</v>
      </c>
      <c r="C740" s="25">
        <v>1.0</v>
      </c>
      <c r="D740" s="36" t="s">
        <v>82</v>
      </c>
    </row>
    <row r="741">
      <c r="A741" s="36" t="s">
        <v>1736</v>
      </c>
      <c r="B741" s="36" t="s">
        <v>1737</v>
      </c>
      <c r="C741" s="25">
        <v>1.0</v>
      </c>
      <c r="D741" s="36" t="s">
        <v>82</v>
      </c>
    </row>
    <row r="742">
      <c r="A742" s="36" t="s">
        <v>1738</v>
      </c>
      <c r="B742" s="36" t="s">
        <v>1739</v>
      </c>
      <c r="C742" s="25">
        <v>1.0</v>
      </c>
      <c r="D742" s="36" t="s">
        <v>1700</v>
      </c>
    </row>
    <row r="743">
      <c r="A743" s="36" t="s">
        <v>1740</v>
      </c>
      <c r="B743" s="36" t="s">
        <v>1741</v>
      </c>
      <c r="C743" s="25">
        <v>1.0</v>
      </c>
      <c r="D743" s="36" t="s">
        <v>1707</v>
      </c>
    </row>
    <row r="744">
      <c r="A744" s="36" t="s">
        <v>1742</v>
      </c>
      <c r="B744" s="36" t="s">
        <v>1743</v>
      </c>
      <c r="C744" s="25">
        <v>1.0</v>
      </c>
      <c r="D744" s="36" t="s">
        <v>82</v>
      </c>
    </row>
    <row r="745">
      <c r="A745" s="36" t="s">
        <v>1744</v>
      </c>
      <c r="B745" s="36" t="s">
        <v>1745</v>
      </c>
      <c r="C745" s="25">
        <v>2.0</v>
      </c>
      <c r="D745" s="36" t="s">
        <v>1746</v>
      </c>
    </row>
    <row r="746">
      <c r="A746" s="36" t="s">
        <v>1747</v>
      </c>
      <c r="B746" s="36" t="s">
        <v>1748</v>
      </c>
      <c r="C746" s="25">
        <v>1.0</v>
      </c>
      <c r="D746" s="36" t="s">
        <v>82</v>
      </c>
    </row>
    <row r="747">
      <c r="A747" s="36" t="s">
        <v>1484</v>
      </c>
      <c r="B747" s="36" t="s">
        <v>1750</v>
      </c>
      <c r="C747" s="25">
        <v>1.0</v>
      </c>
      <c r="D747" s="36" t="s">
        <v>82</v>
      </c>
    </row>
    <row r="748">
      <c r="A748" s="36" t="s">
        <v>1751</v>
      </c>
      <c r="B748" s="36" t="s">
        <v>1752</v>
      </c>
      <c r="C748" s="25">
        <v>1.0</v>
      </c>
      <c r="D748" s="36" t="s">
        <v>82</v>
      </c>
    </row>
    <row r="749">
      <c r="A749" s="36" t="s">
        <v>1753</v>
      </c>
      <c r="B749" s="36" t="s">
        <v>1754</v>
      </c>
      <c r="C749" s="25">
        <v>1.0</v>
      </c>
      <c r="D749" s="36" t="s">
        <v>82</v>
      </c>
    </row>
    <row r="750">
      <c r="A750" s="36" t="s">
        <v>1755</v>
      </c>
      <c r="B750" s="36" t="s">
        <v>1756</v>
      </c>
      <c r="C750" s="25">
        <v>1.0</v>
      </c>
      <c r="D750" s="36" t="s">
        <v>82</v>
      </c>
    </row>
    <row r="751">
      <c r="A751" s="36" t="s">
        <v>943</v>
      </c>
      <c r="B751" s="36" t="s">
        <v>1757</v>
      </c>
      <c r="C751" s="25">
        <v>1.0</v>
      </c>
      <c r="D751" s="36" t="s">
        <v>82</v>
      </c>
    </row>
    <row r="752">
      <c r="A752" s="36" t="s">
        <v>1758</v>
      </c>
      <c r="B752" s="36" t="s">
        <v>1759</v>
      </c>
      <c r="C752" s="25">
        <v>1.0</v>
      </c>
      <c r="D752" s="36" t="s">
        <v>82</v>
      </c>
    </row>
    <row r="753">
      <c r="A753" s="36" t="s">
        <v>1543</v>
      </c>
      <c r="B753" s="36" t="s">
        <v>1760</v>
      </c>
      <c r="C753" s="25">
        <v>1.0</v>
      </c>
      <c r="D753" s="36" t="s">
        <v>82</v>
      </c>
    </row>
    <row r="754">
      <c r="A754" s="36" t="s">
        <v>1761</v>
      </c>
      <c r="B754" s="36" t="s">
        <v>1762</v>
      </c>
      <c r="C754" s="25">
        <v>1.0</v>
      </c>
      <c r="D754" s="36" t="s">
        <v>1764</v>
      </c>
    </row>
    <row r="755">
      <c r="A755" s="36" t="s">
        <v>1766</v>
      </c>
      <c r="B755" s="36" t="s">
        <v>1767</v>
      </c>
      <c r="C755" s="25">
        <v>1.0</v>
      </c>
      <c r="D755" s="36" t="s">
        <v>1746</v>
      </c>
    </row>
    <row r="756">
      <c r="A756" s="36" t="s">
        <v>1768</v>
      </c>
      <c r="B756" s="36" t="s">
        <v>1769</v>
      </c>
      <c r="C756" s="25">
        <v>1.0</v>
      </c>
      <c r="D756" s="36" t="s">
        <v>82</v>
      </c>
    </row>
    <row r="757">
      <c r="A757" s="36" t="s">
        <v>1770</v>
      </c>
      <c r="B757" s="36" t="s">
        <v>1771</v>
      </c>
      <c r="C757" s="25">
        <v>1.0</v>
      </c>
      <c r="D757" s="36" t="s">
        <v>82</v>
      </c>
    </row>
    <row r="758">
      <c r="A758" s="36" t="s">
        <v>1772</v>
      </c>
      <c r="B758" s="36" t="s">
        <v>1773</v>
      </c>
      <c r="C758" s="25">
        <v>1.0</v>
      </c>
      <c r="D758" s="36" t="s">
        <v>82</v>
      </c>
    </row>
    <row r="759">
      <c r="A759" s="36" t="s">
        <v>1402</v>
      </c>
      <c r="B759" s="36" t="s">
        <v>1776</v>
      </c>
      <c r="C759" s="25">
        <v>1.0</v>
      </c>
      <c r="D759" s="36" t="s">
        <v>82</v>
      </c>
    </row>
    <row r="760">
      <c r="A760" s="36" t="s">
        <v>1777</v>
      </c>
      <c r="B760" s="36" t="s">
        <v>1778</v>
      </c>
      <c r="C760" s="25">
        <v>1.0</v>
      </c>
      <c r="D760" s="36" t="s">
        <v>82</v>
      </c>
    </row>
    <row r="761">
      <c r="A761" s="36" t="s">
        <v>1779</v>
      </c>
      <c r="B761" s="36" t="s">
        <v>1780</v>
      </c>
      <c r="C761" s="25">
        <v>1.0</v>
      </c>
      <c r="D761" s="36" t="s">
        <v>82</v>
      </c>
    </row>
    <row r="762">
      <c r="A762" s="36" t="s">
        <v>1781</v>
      </c>
      <c r="B762" s="36" t="s">
        <v>1782</v>
      </c>
      <c r="C762" s="25">
        <v>1.0</v>
      </c>
      <c r="D762" s="36" t="s">
        <v>82</v>
      </c>
    </row>
    <row r="763">
      <c r="A763" s="36" t="s">
        <v>1783</v>
      </c>
      <c r="B763" s="36" t="s">
        <v>1784</v>
      </c>
      <c r="C763" s="25">
        <v>1.0</v>
      </c>
      <c r="D763" s="36" t="s">
        <v>82</v>
      </c>
    </row>
    <row r="764">
      <c r="A764" s="36" t="s">
        <v>1785</v>
      </c>
      <c r="B764" s="36" t="s">
        <v>1786</v>
      </c>
      <c r="C764" s="25">
        <v>1.0</v>
      </c>
      <c r="D764" s="36" t="s">
        <v>82</v>
      </c>
    </row>
    <row r="765">
      <c r="A765" s="36" t="s">
        <v>791</v>
      </c>
      <c r="B765" s="36" t="s">
        <v>1787</v>
      </c>
      <c r="C765" s="25">
        <v>1.0</v>
      </c>
      <c r="D765" s="36" t="s">
        <v>82</v>
      </c>
    </row>
    <row r="766">
      <c r="A766" s="36" t="s">
        <v>1788</v>
      </c>
      <c r="B766" s="36" t="s">
        <v>1789</v>
      </c>
      <c r="C766" s="25">
        <v>1.0</v>
      </c>
      <c r="D766" s="36" t="s">
        <v>82</v>
      </c>
    </row>
    <row r="767">
      <c r="A767" s="36" t="s">
        <v>1790</v>
      </c>
      <c r="B767" s="36" t="s">
        <v>1791</v>
      </c>
      <c r="C767" s="25">
        <v>1.0</v>
      </c>
      <c r="D767" s="36" t="s">
        <v>82</v>
      </c>
    </row>
    <row r="768">
      <c r="A768" s="36" t="s">
        <v>655</v>
      </c>
      <c r="B768" s="36" t="s">
        <v>1793</v>
      </c>
      <c r="C768" s="25">
        <v>1.0</v>
      </c>
      <c r="D768" s="36" t="s">
        <v>82</v>
      </c>
    </row>
    <row r="769">
      <c r="A769" s="36" t="s">
        <v>1794</v>
      </c>
      <c r="B769" s="36" t="s">
        <v>1795</v>
      </c>
      <c r="C769" s="25">
        <v>1.0</v>
      </c>
      <c r="D769" s="36" t="s">
        <v>82</v>
      </c>
    </row>
    <row r="770">
      <c r="A770" s="36" t="s">
        <v>915</v>
      </c>
      <c r="B770" s="36" t="s">
        <v>1796</v>
      </c>
      <c r="C770" s="25">
        <v>1.0</v>
      </c>
      <c r="D770" s="36" t="s">
        <v>82</v>
      </c>
    </row>
    <row r="771">
      <c r="A771" s="36" t="s">
        <v>1797</v>
      </c>
      <c r="B771" s="36" t="s">
        <v>1798</v>
      </c>
      <c r="C771" s="25">
        <v>1.0</v>
      </c>
      <c r="D771" s="36" t="s">
        <v>82</v>
      </c>
    </row>
    <row r="772">
      <c r="A772" s="36" t="s">
        <v>1799</v>
      </c>
      <c r="B772" s="36" t="s">
        <v>1800</v>
      </c>
      <c r="C772" s="25">
        <v>1.0</v>
      </c>
      <c r="D772" s="36" t="s">
        <v>82</v>
      </c>
    </row>
    <row r="773">
      <c r="A773" s="36" t="s">
        <v>1801</v>
      </c>
      <c r="B773" s="36" t="s">
        <v>1802</v>
      </c>
      <c r="C773" s="25">
        <v>2.0</v>
      </c>
      <c r="D773" s="36" t="s">
        <v>169</v>
      </c>
    </row>
    <row r="774">
      <c r="A774" s="36" t="s">
        <v>1803</v>
      </c>
      <c r="B774" s="36" t="s">
        <v>1804</v>
      </c>
      <c r="C774" s="25">
        <v>1.0</v>
      </c>
      <c r="D774" s="36" t="s">
        <v>82</v>
      </c>
    </row>
    <row r="775">
      <c r="A775" s="36" t="s">
        <v>1806</v>
      </c>
      <c r="B775" s="36" t="s">
        <v>1807</v>
      </c>
      <c r="C775" s="25">
        <v>1.0</v>
      </c>
      <c r="D775" s="36" t="s">
        <v>82</v>
      </c>
    </row>
    <row r="776">
      <c r="A776" s="36" t="s">
        <v>1808</v>
      </c>
      <c r="B776" s="36" t="s">
        <v>1809</v>
      </c>
      <c r="C776" s="25">
        <v>1.0</v>
      </c>
      <c r="D776" s="36" t="s">
        <v>82</v>
      </c>
    </row>
    <row r="777">
      <c r="A777" s="36" t="s">
        <v>1810</v>
      </c>
      <c r="B777" s="36" t="s">
        <v>1811</v>
      </c>
      <c r="C777" s="25">
        <v>1.0</v>
      </c>
      <c r="D777" s="36" t="s">
        <v>82</v>
      </c>
    </row>
    <row r="778">
      <c r="A778" s="36" t="s">
        <v>1812</v>
      </c>
      <c r="B778" s="36" t="s">
        <v>1813</v>
      </c>
      <c r="C778" s="25">
        <v>1.0</v>
      </c>
      <c r="D778" s="36" t="s">
        <v>82</v>
      </c>
    </row>
    <row r="779">
      <c r="A779" s="36" t="s">
        <v>1814</v>
      </c>
      <c r="B779" s="36" t="s">
        <v>1815</v>
      </c>
      <c r="C779" s="25">
        <v>1.0</v>
      </c>
      <c r="D779" s="36" t="s">
        <v>82</v>
      </c>
    </row>
    <row r="780">
      <c r="A780" s="36" t="s">
        <v>1816</v>
      </c>
      <c r="B780" s="36" t="s">
        <v>1817</v>
      </c>
      <c r="C780" s="25">
        <v>1.0</v>
      </c>
      <c r="D780" s="36" t="s">
        <v>82</v>
      </c>
    </row>
    <row r="781">
      <c r="A781" s="36" t="s">
        <v>1818</v>
      </c>
      <c r="B781" s="36" t="s">
        <v>1819</v>
      </c>
      <c r="C781" s="25">
        <v>1.0</v>
      </c>
      <c r="D781" s="36" t="s">
        <v>82</v>
      </c>
    </row>
    <row r="782">
      <c r="A782" s="36" t="s">
        <v>1821</v>
      </c>
      <c r="B782" s="36" t="s">
        <v>1822</v>
      </c>
      <c r="C782" s="25">
        <v>2.0</v>
      </c>
      <c r="D782" s="36" t="s">
        <v>169</v>
      </c>
    </row>
    <row r="783">
      <c r="A783" s="36" t="s">
        <v>1823</v>
      </c>
      <c r="B783" s="36" t="s">
        <v>1824</v>
      </c>
      <c r="C783" s="25">
        <v>1.0</v>
      </c>
      <c r="D783" s="36" t="s">
        <v>82</v>
      </c>
    </row>
    <row r="784">
      <c r="A784" s="36" t="s">
        <v>1825</v>
      </c>
      <c r="B784" s="36" t="s">
        <v>1826</v>
      </c>
      <c r="C784" s="25">
        <v>1.0</v>
      </c>
      <c r="D784" s="36" t="s">
        <v>82</v>
      </c>
    </row>
    <row r="785">
      <c r="A785" s="36" t="s">
        <v>1827</v>
      </c>
      <c r="B785" s="36" t="s">
        <v>1828</v>
      </c>
      <c r="C785" s="25">
        <v>1.0</v>
      </c>
      <c r="D785" s="36" t="s">
        <v>82</v>
      </c>
    </row>
    <row r="786">
      <c r="A786" s="36" t="s">
        <v>1829</v>
      </c>
      <c r="B786" s="36" t="s">
        <v>1830</v>
      </c>
      <c r="C786" s="25">
        <v>1.0</v>
      </c>
      <c r="D786" s="36" t="s">
        <v>82</v>
      </c>
    </row>
    <row r="787">
      <c r="A787" s="36" t="s">
        <v>1831</v>
      </c>
      <c r="B787" s="36" t="s">
        <v>1832</v>
      </c>
      <c r="C787" s="25">
        <v>1.0</v>
      </c>
      <c r="D787" s="36" t="s">
        <v>82</v>
      </c>
    </row>
    <row r="788">
      <c r="A788" s="36" t="s">
        <v>1833</v>
      </c>
      <c r="B788" s="36" t="s">
        <v>1834</v>
      </c>
      <c r="C788" s="25">
        <v>1.0</v>
      </c>
      <c r="D788" s="36" t="s">
        <v>82</v>
      </c>
    </row>
    <row r="789">
      <c r="A789" s="36" t="s">
        <v>1835</v>
      </c>
      <c r="B789" s="36" t="s">
        <v>1836</v>
      </c>
      <c r="C789" s="25">
        <v>1.0</v>
      </c>
      <c r="D789" s="36" t="s">
        <v>82</v>
      </c>
    </row>
    <row r="790">
      <c r="A790" s="36" t="s">
        <v>75</v>
      </c>
      <c r="B790" s="36" t="s">
        <v>1838</v>
      </c>
      <c r="C790" s="25">
        <v>1.0</v>
      </c>
      <c r="D790" s="36" t="s">
        <v>82</v>
      </c>
    </row>
    <row r="791">
      <c r="A791" s="36" t="s">
        <v>445</v>
      </c>
      <c r="B791" s="36" t="s">
        <v>1839</v>
      </c>
      <c r="C791" s="25">
        <v>1.0</v>
      </c>
      <c r="D791" s="36" t="s">
        <v>82</v>
      </c>
    </row>
    <row r="792">
      <c r="A792" s="36" t="s">
        <v>1840</v>
      </c>
      <c r="B792" s="36" t="s">
        <v>1841</v>
      </c>
      <c r="C792" s="25">
        <v>1.0</v>
      </c>
      <c r="D792" s="36" t="s">
        <v>361</v>
      </c>
    </row>
    <row r="793">
      <c r="A793" s="36" t="s">
        <v>1282</v>
      </c>
      <c r="B793" s="36" t="s">
        <v>1842</v>
      </c>
      <c r="C793" s="25">
        <v>1.0</v>
      </c>
      <c r="D793" s="36" t="s">
        <v>82</v>
      </c>
    </row>
    <row r="794">
      <c r="A794" s="36" t="s">
        <v>1843</v>
      </c>
      <c r="B794" s="36" t="s">
        <v>1844</v>
      </c>
      <c r="C794" s="25">
        <v>1.0</v>
      </c>
      <c r="D794" s="36" t="s">
        <v>82</v>
      </c>
    </row>
    <row r="795">
      <c r="A795" s="36" t="s">
        <v>1845</v>
      </c>
      <c r="B795" s="36" t="s">
        <v>1846</v>
      </c>
      <c r="C795" s="25">
        <v>1.0</v>
      </c>
      <c r="D795" s="36" t="s">
        <v>82</v>
      </c>
    </row>
    <row r="796">
      <c r="A796" s="36" t="s">
        <v>1847</v>
      </c>
      <c r="B796" s="36" t="s">
        <v>1848</v>
      </c>
      <c r="C796" s="25">
        <v>1.0</v>
      </c>
      <c r="D796" s="36" t="s">
        <v>1849</v>
      </c>
    </row>
    <row r="797">
      <c r="A797" s="36" t="s">
        <v>835</v>
      </c>
      <c r="B797" s="36" t="s">
        <v>1850</v>
      </c>
      <c r="C797" s="25">
        <v>1.0</v>
      </c>
      <c r="D797" s="36" t="s">
        <v>82</v>
      </c>
    </row>
    <row r="798">
      <c r="A798" s="36" t="s">
        <v>1851</v>
      </c>
      <c r="B798" s="36" t="s">
        <v>1852</v>
      </c>
      <c r="C798" s="25">
        <v>1.0</v>
      </c>
      <c r="D798" s="36" t="s">
        <v>82</v>
      </c>
    </row>
    <row r="799">
      <c r="A799" s="36" t="s">
        <v>1854</v>
      </c>
      <c r="B799" s="36" t="s">
        <v>1855</v>
      </c>
      <c r="C799" s="25">
        <v>1.0</v>
      </c>
      <c r="D799" s="36" t="s">
        <v>82</v>
      </c>
    </row>
    <row r="800">
      <c r="A800" s="36" t="s">
        <v>1856</v>
      </c>
      <c r="B800" s="36" t="s">
        <v>1857</v>
      </c>
      <c r="C800" s="25">
        <v>1.0</v>
      </c>
      <c r="D800" s="36" t="s">
        <v>82</v>
      </c>
    </row>
    <row r="801">
      <c r="A801" s="36" t="s">
        <v>1858</v>
      </c>
      <c r="B801" s="36" t="s">
        <v>1859</v>
      </c>
      <c r="C801" s="25">
        <v>1.0</v>
      </c>
      <c r="D801" s="36" t="s">
        <v>82</v>
      </c>
    </row>
    <row r="802">
      <c r="A802" s="36" t="s">
        <v>1860</v>
      </c>
      <c r="B802" s="36" t="s">
        <v>1861</v>
      </c>
      <c r="C802" s="25">
        <v>1.0</v>
      </c>
      <c r="D802" s="36" t="s">
        <v>82</v>
      </c>
    </row>
    <row r="803">
      <c r="A803" s="36" t="s">
        <v>1864</v>
      </c>
      <c r="B803" s="36" t="s">
        <v>1865</v>
      </c>
      <c r="C803" s="25">
        <v>1.0</v>
      </c>
      <c r="D803" s="36" t="s">
        <v>82</v>
      </c>
    </row>
    <row r="804">
      <c r="A804" s="36" t="s">
        <v>1866</v>
      </c>
      <c r="B804" s="36" t="s">
        <v>1867</v>
      </c>
      <c r="C804" s="25">
        <v>1.0</v>
      </c>
      <c r="D804" s="36" t="s">
        <v>82</v>
      </c>
    </row>
    <row r="805">
      <c r="A805" s="36" t="s">
        <v>1868</v>
      </c>
      <c r="B805" s="36" t="s">
        <v>1869</v>
      </c>
      <c r="C805" s="25">
        <v>1.0</v>
      </c>
      <c r="D805" s="36" t="s">
        <v>82</v>
      </c>
    </row>
    <row r="806">
      <c r="A806" s="36" t="s">
        <v>1870</v>
      </c>
      <c r="B806" s="36" t="s">
        <v>1871</v>
      </c>
      <c r="C806" s="25">
        <v>1.0</v>
      </c>
      <c r="D806" s="36" t="s">
        <v>82</v>
      </c>
    </row>
    <row r="807">
      <c r="A807" s="36" t="s">
        <v>1872</v>
      </c>
      <c r="B807" s="36" t="s">
        <v>1873</v>
      </c>
      <c r="C807" s="25">
        <v>1.0</v>
      </c>
      <c r="D807" s="36" t="s">
        <v>82</v>
      </c>
    </row>
    <row r="808">
      <c r="A808" s="36" t="s">
        <v>1863</v>
      </c>
      <c r="B808" s="36" t="s">
        <v>1874</v>
      </c>
      <c r="C808" s="25">
        <v>1.0</v>
      </c>
      <c r="D808" s="36" t="s">
        <v>82</v>
      </c>
    </row>
    <row r="809">
      <c r="A809" s="36" t="s">
        <v>1875</v>
      </c>
      <c r="B809" s="36" t="s">
        <v>1877</v>
      </c>
      <c r="C809" s="25">
        <v>1.0</v>
      </c>
      <c r="D809" s="36" t="s">
        <v>82</v>
      </c>
    </row>
    <row r="810">
      <c r="A810" s="36" t="s">
        <v>1878</v>
      </c>
      <c r="B810" s="36" t="s">
        <v>1879</v>
      </c>
      <c r="C810" s="25">
        <v>1.0</v>
      </c>
      <c r="D810" s="36" t="s">
        <v>82</v>
      </c>
    </row>
    <row r="811">
      <c r="A811" s="36" t="s">
        <v>1880</v>
      </c>
      <c r="B811" s="36" t="s">
        <v>1881</v>
      </c>
      <c r="C811" s="25">
        <v>1.0</v>
      </c>
      <c r="D811" s="36" t="s">
        <v>82</v>
      </c>
    </row>
    <row r="812">
      <c r="A812" s="36" t="s">
        <v>1510</v>
      </c>
      <c r="B812" s="36" t="s">
        <v>1882</v>
      </c>
      <c r="C812" s="25">
        <v>1.0</v>
      </c>
      <c r="D812" s="36" t="s">
        <v>82</v>
      </c>
    </row>
    <row r="813">
      <c r="A813" s="36" t="s">
        <v>1883</v>
      </c>
      <c r="B813" s="36" t="s">
        <v>1884</v>
      </c>
      <c r="C813" s="25">
        <v>1.0</v>
      </c>
      <c r="D813" s="36" t="s">
        <v>82</v>
      </c>
    </row>
    <row r="814">
      <c r="A814" s="36" t="s">
        <v>73</v>
      </c>
      <c r="B814" s="36" t="s">
        <v>1885</v>
      </c>
      <c r="C814" s="25">
        <v>1.0</v>
      </c>
      <c r="D814" s="36" t="s">
        <v>82</v>
      </c>
    </row>
    <row r="815">
      <c r="A815" s="36" t="s">
        <v>1886</v>
      </c>
      <c r="B815" s="36" t="s">
        <v>1887</v>
      </c>
      <c r="C815" s="25">
        <v>2.0</v>
      </c>
      <c r="D815" s="36" t="s">
        <v>1888</v>
      </c>
    </row>
    <row r="816">
      <c r="A816" s="36" t="s">
        <v>1889</v>
      </c>
      <c r="B816" s="36" t="s">
        <v>1890</v>
      </c>
      <c r="C816" s="25">
        <v>1.0</v>
      </c>
      <c r="D816" s="36" t="s">
        <v>82</v>
      </c>
    </row>
    <row r="817">
      <c r="A817" s="36" t="s">
        <v>1765</v>
      </c>
      <c r="B817" s="36" t="s">
        <v>1891</v>
      </c>
      <c r="C817" s="25">
        <v>1.0</v>
      </c>
      <c r="D817" s="36" t="s">
        <v>82</v>
      </c>
    </row>
    <row r="818">
      <c r="A818" s="36" t="s">
        <v>1893</v>
      </c>
      <c r="B818" s="36" t="s">
        <v>1894</v>
      </c>
      <c r="C818" s="25">
        <v>1.0</v>
      </c>
      <c r="D818" s="36" t="s">
        <v>82</v>
      </c>
    </row>
    <row r="819">
      <c r="A819" s="36" t="s">
        <v>1895</v>
      </c>
      <c r="B819" s="36" t="s">
        <v>1896</v>
      </c>
      <c r="C819" s="25">
        <v>1.0</v>
      </c>
      <c r="D819" s="36" t="s">
        <v>82</v>
      </c>
    </row>
    <row r="820">
      <c r="A820" s="36" t="s">
        <v>1897</v>
      </c>
      <c r="B820" s="36" t="s">
        <v>1898</v>
      </c>
      <c r="C820" s="25">
        <v>4.0</v>
      </c>
      <c r="D820" s="36" t="s">
        <v>920</v>
      </c>
    </row>
    <row r="821">
      <c r="A821" s="36" t="s">
        <v>1899</v>
      </c>
      <c r="B821" s="36" t="s">
        <v>1900</v>
      </c>
      <c r="C821" s="25">
        <v>1.0</v>
      </c>
      <c r="D821" s="36" t="s">
        <v>82</v>
      </c>
    </row>
    <row r="822">
      <c r="A822" s="36" t="s">
        <v>1775</v>
      </c>
      <c r="B822" s="36" t="s">
        <v>1901</v>
      </c>
      <c r="C822" s="25">
        <v>1.0</v>
      </c>
      <c r="D822" s="36" t="s">
        <v>82</v>
      </c>
    </row>
    <row r="823">
      <c r="A823" s="36" t="s">
        <v>1420</v>
      </c>
      <c r="B823" s="36" t="s">
        <v>1902</v>
      </c>
      <c r="C823" s="25">
        <v>1.0</v>
      </c>
      <c r="D823" s="36" t="s">
        <v>82</v>
      </c>
    </row>
    <row r="824">
      <c r="A824" s="36" t="s">
        <v>1903</v>
      </c>
      <c r="B824" s="36" t="s">
        <v>1904</v>
      </c>
      <c r="C824" s="25">
        <v>1.0</v>
      </c>
      <c r="D824" s="36" t="s">
        <v>82</v>
      </c>
    </row>
    <row r="825">
      <c r="A825" s="36" t="s">
        <v>1906</v>
      </c>
      <c r="B825" s="36" t="s">
        <v>1907</v>
      </c>
      <c r="C825" s="25">
        <v>1.0</v>
      </c>
      <c r="D825" s="36" t="s">
        <v>82</v>
      </c>
    </row>
    <row r="826">
      <c r="A826" s="36" t="s">
        <v>1908</v>
      </c>
      <c r="B826" s="36" t="s">
        <v>1909</v>
      </c>
      <c r="C826" s="25">
        <v>1.0</v>
      </c>
      <c r="D826" s="36" t="s">
        <v>82</v>
      </c>
    </row>
    <row r="827">
      <c r="A827" s="36" t="s">
        <v>1910</v>
      </c>
      <c r="B827" s="36" t="s">
        <v>1911</v>
      </c>
      <c r="C827" s="25">
        <v>1.0</v>
      </c>
      <c r="D827" s="36" t="s">
        <v>82</v>
      </c>
    </row>
    <row r="828">
      <c r="A828" s="36" t="s">
        <v>1912</v>
      </c>
      <c r="B828" s="36" t="s">
        <v>1913</v>
      </c>
      <c r="C828" s="25">
        <v>1.0</v>
      </c>
      <c r="D828" s="36" t="s">
        <v>82</v>
      </c>
    </row>
    <row r="829">
      <c r="A829" s="36" t="s">
        <v>1914</v>
      </c>
      <c r="B829" s="36" t="s">
        <v>1915</v>
      </c>
      <c r="C829" s="25">
        <v>1.0</v>
      </c>
      <c r="D829" s="36" t="s">
        <v>82</v>
      </c>
    </row>
    <row r="830">
      <c r="A830" s="36" t="s">
        <v>1916</v>
      </c>
      <c r="B830" s="36" t="s">
        <v>1917</v>
      </c>
      <c r="C830" s="25">
        <v>1.0</v>
      </c>
      <c r="D830" s="36" t="s">
        <v>82</v>
      </c>
    </row>
    <row r="831">
      <c r="A831" s="36" t="s">
        <v>1918</v>
      </c>
      <c r="B831" s="36" t="s">
        <v>1919</v>
      </c>
      <c r="C831" s="25">
        <v>1.0</v>
      </c>
      <c r="D831" s="36" t="s">
        <v>82</v>
      </c>
    </row>
    <row r="832">
      <c r="A832" s="36" t="s">
        <v>522</v>
      </c>
      <c r="B832" s="36" t="s">
        <v>1920</v>
      </c>
      <c r="C832" s="25">
        <v>1.0</v>
      </c>
      <c r="D832" s="36" t="s">
        <v>82</v>
      </c>
    </row>
    <row r="833">
      <c r="A833" s="36" t="s">
        <v>1922</v>
      </c>
      <c r="B833" s="36" t="s">
        <v>1923</v>
      </c>
      <c r="C833" s="25">
        <v>1.0</v>
      </c>
      <c r="D833" s="36" t="s">
        <v>82</v>
      </c>
    </row>
    <row r="834">
      <c r="A834" s="36" t="s">
        <v>1924</v>
      </c>
      <c r="B834" s="36" t="s">
        <v>1925</v>
      </c>
      <c r="C834" s="25">
        <v>1.0</v>
      </c>
      <c r="D834" s="36" t="s">
        <v>82</v>
      </c>
    </row>
    <row r="835">
      <c r="A835" s="36" t="s">
        <v>492</v>
      </c>
      <c r="B835" s="36" t="s">
        <v>1926</v>
      </c>
      <c r="C835" s="25">
        <v>1.0</v>
      </c>
      <c r="D835" s="36" t="s">
        <v>82</v>
      </c>
    </row>
    <row r="836">
      <c r="A836" s="36" t="s">
        <v>1927</v>
      </c>
      <c r="B836" s="36" t="s">
        <v>1928</v>
      </c>
      <c r="C836" s="25">
        <v>1.0</v>
      </c>
      <c r="D836" s="36" t="s">
        <v>82</v>
      </c>
    </row>
    <row r="837">
      <c r="A837" s="36" t="s">
        <v>1929</v>
      </c>
      <c r="B837" s="36" t="s">
        <v>1930</v>
      </c>
      <c r="C837" s="25">
        <v>1.0</v>
      </c>
      <c r="D837" s="36" t="s">
        <v>82</v>
      </c>
    </row>
    <row r="838">
      <c r="A838" s="36" t="s">
        <v>1931</v>
      </c>
      <c r="B838" s="36" t="s">
        <v>1932</v>
      </c>
      <c r="C838" s="25">
        <v>1.0</v>
      </c>
      <c r="D838" s="36" t="s">
        <v>82</v>
      </c>
    </row>
    <row r="839">
      <c r="A839" s="36" t="s">
        <v>1933</v>
      </c>
      <c r="B839" s="36" t="s">
        <v>1934</v>
      </c>
      <c r="C839" s="25">
        <v>1.0</v>
      </c>
      <c r="D839" s="36" t="s">
        <v>82</v>
      </c>
    </row>
    <row r="840">
      <c r="A840" s="36" t="s">
        <v>1935</v>
      </c>
      <c r="B840" s="36" t="s">
        <v>1936</v>
      </c>
      <c r="C840" s="25">
        <v>1.0</v>
      </c>
      <c r="D840" s="36" t="s">
        <v>82</v>
      </c>
    </row>
    <row r="841">
      <c r="A841" s="36" t="s">
        <v>1937</v>
      </c>
      <c r="B841" s="36" t="s">
        <v>1938</v>
      </c>
      <c r="C841" s="25">
        <v>1.0</v>
      </c>
      <c r="D841" s="36" t="s">
        <v>82</v>
      </c>
    </row>
    <row r="842">
      <c r="A842" s="36" t="s">
        <v>1940</v>
      </c>
      <c r="B842" s="36" t="s">
        <v>1941</v>
      </c>
      <c r="C842" s="25">
        <v>1.0</v>
      </c>
      <c r="D842" s="36" t="s">
        <v>82</v>
      </c>
    </row>
    <row r="843">
      <c r="A843" s="36" t="s">
        <v>1942</v>
      </c>
      <c r="B843" s="36" t="s">
        <v>1943</v>
      </c>
      <c r="C843" s="25">
        <v>1.0</v>
      </c>
      <c r="D843" s="36" t="s">
        <v>82</v>
      </c>
    </row>
    <row r="844">
      <c r="A844" s="36" t="s">
        <v>1944</v>
      </c>
      <c r="B844" s="36" t="s">
        <v>1945</v>
      </c>
      <c r="C844" s="25">
        <v>1.0</v>
      </c>
      <c r="D844" s="36" t="s">
        <v>150</v>
      </c>
    </row>
    <row r="845">
      <c r="A845" s="36" t="s">
        <v>1946</v>
      </c>
      <c r="B845" s="36" t="s">
        <v>1947</v>
      </c>
      <c r="C845" s="25">
        <v>1.0</v>
      </c>
      <c r="D845" s="36" t="s">
        <v>82</v>
      </c>
    </row>
    <row r="846">
      <c r="A846" s="36" t="s">
        <v>1948</v>
      </c>
      <c r="B846" s="36" t="s">
        <v>1949</v>
      </c>
      <c r="C846" s="25">
        <v>1.0</v>
      </c>
      <c r="D846" s="36" t="s">
        <v>82</v>
      </c>
    </row>
    <row r="847">
      <c r="A847" s="36" t="s">
        <v>1950</v>
      </c>
      <c r="B847" s="36" t="s">
        <v>1951</v>
      </c>
      <c r="C847" s="25">
        <v>1.0</v>
      </c>
      <c r="D847" s="36" t="s">
        <v>82</v>
      </c>
    </row>
  </sheetData>
  <drawing r:id="rId1"/>
</worksheet>
</file>